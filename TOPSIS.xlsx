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dhif\SKRIPSI\"/>
    </mc:Choice>
  </mc:AlternateContent>
  <xr:revisionPtr revIDLastSave="0" documentId="13_ncr:1_{BE66264B-64E4-4E9A-9222-F47780F74FB3}" xr6:coauthVersionLast="47" xr6:coauthVersionMax="47" xr10:uidLastSave="{00000000-0000-0000-0000-000000000000}"/>
  <bookViews>
    <workbookView xWindow="-108" yWindow="-108" windowWidth="23256" windowHeight="12456" activeTab="1" xr2:uid="{F9890AB3-C9EE-4E2F-883D-0B20B21FA955}"/>
  </bookViews>
  <sheets>
    <sheet name="Data Penjualan" sheetId="1" r:id="rId1"/>
    <sheet name="Matriks TOP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J2" i="1"/>
  <c r="C110" i="2"/>
  <c r="D122" i="2"/>
  <c r="C72" i="2"/>
  <c r="A37" i="2"/>
  <c r="C39" i="2"/>
  <c r="C35" i="2"/>
  <c r="C42" i="2" s="1"/>
  <c r="C75" i="2" s="1"/>
  <c r="F35" i="2"/>
  <c r="F48" i="2" s="1"/>
  <c r="F81" i="2" s="1"/>
  <c r="E35" i="2"/>
  <c r="E45" i="2" s="1"/>
  <c r="E78" i="2" s="1"/>
  <c r="D35" i="2"/>
  <c r="D46" i="2" s="1"/>
  <c r="D79" i="2" s="1"/>
  <c r="C65" i="2" l="1"/>
  <c r="C98" i="2" s="1"/>
  <c r="C64" i="2"/>
  <c r="C97" i="2" s="1"/>
  <c r="C63" i="2"/>
  <c r="C96" i="2" s="1"/>
  <c r="C53" i="2"/>
  <c r="C86" i="2" s="1"/>
  <c r="C52" i="2"/>
  <c r="C85" i="2" s="1"/>
  <c r="C51" i="2"/>
  <c r="C84" i="2" s="1"/>
  <c r="C41" i="2"/>
  <c r="C74" i="2" s="1"/>
  <c r="C40" i="2"/>
  <c r="C73" i="2" s="1"/>
  <c r="C62" i="2"/>
  <c r="C95" i="2" s="1"/>
  <c r="C60" i="2"/>
  <c r="C93" i="2" s="1"/>
  <c r="C47" i="2"/>
  <c r="C80" i="2" s="1"/>
  <c r="C57" i="2"/>
  <c r="C90" i="2" s="1"/>
  <c r="C61" i="2"/>
  <c r="C94" i="2" s="1"/>
  <c r="C46" i="2"/>
  <c r="C79" i="2" s="1"/>
  <c r="C43" i="2"/>
  <c r="C76" i="2" s="1"/>
  <c r="C50" i="2"/>
  <c r="C83" i="2" s="1"/>
  <c r="C49" i="2"/>
  <c r="C82" i="2" s="1"/>
  <c r="C48" i="2"/>
  <c r="C81" i="2" s="1"/>
  <c r="C59" i="2"/>
  <c r="C92" i="2" s="1"/>
  <c r="C58" i="2"/>
  <c r="C91" i="2" s="1"/>
  <c r="C45" i="2"/>
  <c r="C78" i="2" s="1"/>
  <c r="C68" i="2"/>
  <c r="C101" i="2" s="1"/>
  <c r="C56" i="2"/>
  <c r="C89" i="2" s="1"/>
  <c r="C44" i="2"/>
  <c r="C77" i="2" s="1"/>
  <c r="C67" i="2"/>
  <c r="C100" i="2" s="1"/>
  <c r="C55" i="2"/>
  <c r="C88" i="2" s="1"/>
  <c r="C66" i="2"/>
  <c r="C99" i="2" s="1"/>
  <c r="C54" i="2"/>
  <c r="C87" i="2" s="1"/>
  <c r="D67" i="2"/>
  <c r="D100" i="2" s="1"/>
  <c r="D56" i="2"/>
  <c r="D89" i="2" s="1"/>
  <c r="D53" i="2"/>
  <c r="D86" i="2" s="1"/>
  <c r="D64" i="2"/>
  <c r="D97" i="2" s="1"/>
  <c r="D40" i="2"/>
  <c r="D73" i="2" s="1"/>
  <c r="D63" i="2"/>
  <c r="D96" i="2" s="1"/>
  <c r="D62" i="2"/>
  <c r="D95" i="2" s="1"/>
  <c r="D61" i="2"/>
  <c r="D94" i="2" s="1"/>
  <c r="D60" i="2"/>
  <c r="D93" i="2" s="1"/>
  <c r="D48" i="2"/>
  <c r="D81" i="2" s="1"/>
  <c r="D39" i="2"/>
  <c r="D72" i="2" s="1"/>
  <c r="D45" i="2"/>
  <c r="D78" i="2" s="1"/>
  <c r="D68" i="2"/>
  <c r="D101" i="2" s="1"/>
  <c r="D44" i="2"/>
  <c r="D77" i="2" s="1"/>
  <c r="D55" i="2"/>
  <c r="D88" i="2" s="1"/>
  <c r="D66" i="2"/>
  <c r="D99" i="2" s="1"/>
  <c r="D42" i="2"/>
  <c r="D75" i="2" s="1"/>
  <c r="D41" i="2"/>
  <c r="D74" i="2" s="1"/>
  <c r="D52" i="2"/>
  <c r="D85" i="2" s="1"/>
  <c r="D51" i="2"/>
  <c r="D84" i="2" s="1"/>
  <c r="D50" i="2"/>
  <c r="D83" i="2" s="1"/>
  <c r="D49" i="2"/>
  <c r="D82" i="2" s="1"/>
  <c r="D59" i="2"/>
  <c r="D92" i="2" s="1"/>
  <c r="D47" i="2"/>
  <c r="D80" i="2" s="1"/>
  <c r="D57" i="2"/>
  <c r="D90" i="2" s="1"/>
  <c r="D43" i="2"/>
  <c r="D76" i="2" s="1"/>
  <c r="D54" i="2"/>
  <c r="D87" i="2" s="1"/>
  <c r="D65" i="2"/>
  <c r="D98" i="2" s="1"/>
  <c r="D58" i="2"/>
  <c r="D91" i="2" s="1"/>
  <c r="F58" i="2"/>
  <c r="F91" i="2" s="1"/>
  <c r="F39" i="2"/>
  <c r="F72" i="2" s="1"/>
  <c r="F59" i="2"/>
  <c r="F92" i="2" s="1"/>
  <c r="F57" i="2"/>
  <c r="F90" i="2" s="1"/>
  <c r="F47" i="2"/>
  <c r="F80" i="2" s="1"/>
  <c r="F46" i="2"/>
  <c r="F79" i="2" s="1"/>
  <c r="F45" i="2"/>
  <c r="F78" i="2" s="1"/>
  <c r="E53" i="2"/>
  <c r="E86" i="2" s="1"/>
  <c r="E44" i="2"/>
  <c r="E77" i="2" s="1"/>
  <c r="E68" i="2"/>
  <c r="E101" i="2" s="1"/>
  <c r="E43" i="2"/>
  <c r="E76" i="2" s="1"/>
  <c r="E65" i="2"/>
  <c r="E98" i="2" s="1"/>
  <c r="E63" i="2"/>
  <c r="E96" i="2" s="1"/>
  <c r="E54" i="2"/>
  <c r="E87" i="2" s="1"/>
  <c r="E67" i="2"/>
  <c r="E100" i="2" s="1"/>
  <c r="E42" i="2"/>
  <c r="E75" i="2" s="1"/>
  <c r="E56" i="2"/>
  <c r="E89" i="2" s="1"/>
  <c r="E55" i="2"/>
  <c r="E88" i="2" s="1"/>
  <c r="E52" i="2"/>
  <c r="E85" i="2" s="1"/>
  <c r="E66" i="2"/>
  <c r="E99" i="2" s="1"/>
  <c r="E41" i="2"/>
  <c r="E74" i="2" s="1"/>
  <c r="E40" i="2"/>
  <c r="E73" i="2" s="1"/>
  <c r="E64" i="2"/>
  <c r="E97" i="2" s="1"/>
  <c r="E61" i="2"/>
  <c r="E94" i="2" s="1"/>
  <c r="E48" i="2"/>
  <c r="E81" i="2" s="1"/>
  <c r="E62" i="2"/>
  <c r="E95" i="2" s="1"/>
  <c r="E49" i="2"/>
  <c r="E82" i="2" s="1"/>
  <c r="E60" i="2"/>
  <c r="E93" i="2" s="1"/>
  <c r="E59" i="2"/>
  <c r="E92" i="2" s="1"/>
  <c r="E58" i="2"/>
  <c r="E91" i="2" s="1"/>
  <c r="E51" i="2"/>
  <c r="E84" i="2" s="1"/>
  <c r="E50" i="2"/>
  <c r="E83" i="2" s="1"/>
  <c r="E47" i="2"/>
  <c r="E80" i="2" s="1"/>
  <c r="E46" i="2"/>
  <c r="E79" i="2" s="1"/>
  <c r="E39" i="2"/>
  <c r="E72" i="2" s="1"/>
  <c r="E57" i="2"/>
  <c r="E90" i="2" s="1"/>
  <c r="F68" i="2"/>
  <c r="F101" i="2" s="1"/>
  <c r="F42" i="2"/>
  <c r="F75" i="2" s="1"/>
  <c r="F53" i="2"/>
  <c r="F86" i="2" s="1"/>
  <c r="F52" i="2"/>
  <c r="F85" i="2" s="1"/>
  <c r="F63" i="2"/>
  <c r="F96" i="2" s="1"/>
  <c r="F51" i="2"/>
  <c r="F84" i="2" s="1"/>
  <c r="F66" i="2"/>
  <c r="F99" i="2" s="1"/>
  <c r="F41" i="2"/>
  <c r="F74" i="2" s="1"/>
  <c r="F40" i="2"/>
  <c r="F73" i="2" s="1"/>
  <c r="F62" i="2"/>
  <c r="F95" i="2" s="1"/>
  <c r="F50" i="2"/>
  <c r="F83" i="2" s="1"/>
  <c r="F56" i="2"/>
  <c r="F89" i="2" s="1"/>
  <c r="F55" i="2"/>
  <c r="F88" i="2" s="1"/>
  <c r="F61" i="2"/>
  <c r="F94" i="2" s="1"/>
  <c r="F49" i="2"/>
  <c r="F82" i="2" s="1"/>
  <c r="F44" i="2"/>
  <c r="F77" i="2" s="1"/>
  <c r="F67" i="2"/>
  <c r="F100" i="2" s="1"/>
  <c r="F43" i="2"/>
  <c r="F76" i="2" s="1"/>
  <c r="F54" i="2"/>
  <c r="F87" i="2" s="1"/>
  <c r="F65" i="2"/>
  <c r="F98" i="2" s="1"/>
  <c r="F64" i="2"/>
  <c r="F97" i="2" s="1"/>
  <c r="F60" i="2"/>
  <c r="F93" i="2" s="1"/>
  <c r="D105" i="2" l="1"/>
  <c r="D106" i="2"/>
  <c r="E106" i="2"/>
  <c r="E105" i="2"/>
  <c r="F106" i="2"/>
  <c r="F105" i="2"/>
  <c r="J31" i="1" l="1"/>
  <c r="F31" i="1"/>
  <c r="G31" i="1" s="1"/>
  <c r="H31" i="1" s="1"/>
  <c r="J30" i="1"/>
  <c r="F30" i="1"/>
  <c r="G30" i="1" s="1"/>
  <c r="H30" i="1" s="1"/>
  <c r="J29" i="1"/>
  <c r="F29" i="1"/>
  <c r="G29" i="1" s="1"/>
  <c r="H29" i="1" s="1"/>
  <c r="J28" i="1"/>
  <c r="F28" i="1"/>
  <c r="G28" i="1" s="1"/>
  <c r="H28" i="1" s="1"/>
  <c r="J27" i="1"/>
  <c r="F27" i="1"/>
  <c r="G27" i="1" s="1"/>
  <c r="H27" i="1" s="1"/>
  <c r="J26" i="1"/>
  <c r="F26" i="1"/>
  <c r="G26" i="1" s="1"/>
  <c r="H26" i="1" s="1"/>
  <c r="J25" i="1"/>
  <c r="F25" i="1"/>
  <c r="G25" i="1" s="1"/>
  <c r="H25" i="1" s="1"/>
  <c r="J24" i="1"/>
  <c r="F24" i="1"/>
  <c r="G24" i="1" s="1"/>
  <c r="H24" i="1" s="1"/>
  <c r="J23" i="1"/>
  <c r="F23" i="1"/>
  <c r="G23" i="1" s="1"/>
  <c r="H23" i="1" s="1"/>
  <c r="J22" i="1"/>
  <c r="F22" i="1"/>
  <c r="G22" i="1" s="1"/>
  <c r="H22" i="1" s="1"/>
  <c r="J21" i="1"/>
  <c r="F21" i="1"/>
  <c r="G21" i="1" s="1"/>
  <c r="H21" i="1" s="1"/>
  <c r="J20" i="1"/>
  <c r="F20" i="1"/>
  <c r="G20" i="1" s="1"/>
  <c r="H20" i="1" s="1"/>
  <c r="J19" i="1"/>
  <c r="F19" i="1"/>
  <c r="G19" i="1" s="1"/>
  <c r="H19" i="1" s="1"/>
  <c r="J18" i="1"/>
  <c r="F18" i="1"/>
  <c r="G18" i="1" s="1"/>
  <c r="H18" i="1" s="1"/>
  <c r="J17" i="1"/>
  <c r="F17" i="1"/>
  <c r="G17" i="1" s="1"/>
  <c r="H17" i="1" s="1"/>
  <c r="J16" i="1"/>
  <c r="F16" i="1"/>
  <c r="G16" i="1" s="1"/>
  <c r="H16" i="1" s="1"/>
  <c r="J15" i="1"/>
  <c r="F15" i="1"/>
  <c r="G15" i="1" s="1"/>
  <c r="H15" i="1" s="1"/>
  <c r="J14" i="1"/>
  <c r="F14" i="1"/>
  <c r="G14" i="1" s="1"/>
  <c r="H14" i="1" s="1"/>
  <c r="J13" i="1"/>
  <c r="F13" i="1"/>
  <c r="G13" i="1" s="1"/>
  <c r="H13" i="1" s="1"/>
  <c r="J12" i="1"/>
  <c r="F12" i="1"/>
  <c r="G12" i="1" s="1"/>
  <c r="H12" i="1" s="1"/>
  <c r="J11" i="1"/>
  <c r="F11" i="1"/>
  <c r="G11" i="1" s="1"/>
  <c r="H11" i="1" s="1"/>
  <c r="J10" i="1"/>
  <c r="F10" i="1"/>
  <c r="G10" i="1" s="1"/>
  <c r="H10" i="1" s="1"/>
  <c r="J9" i="1"/>
  <c r="F9" i="1"/>
  <c r="G9" i="1" s="1"/>
  <c r="H9" i="1" s="1"/>
  <c r="J8" i="1"/>
  <c r="F8" i="1"/>
  <c r="G8" i="1" s="1"/>
  <c r="H8" i="1" s="1"/>
  <c r="J7" i="1"/>
  <c r="F7" i="1"/>
  <c r="G7" i="1" s="1"/>
  <c r="H7" i="1" s="1"/>
  <c r="J6" i="1"/>
  <c r="F6" i="1"/>
  <c r="G6" i="1" s="1"/>
  <c r="H6" i="1" s="1"/>
  <c r="J5" i="1"/>
  <c r="F5" i="1"/>
  <c r="G5" i="1" s="1"/>
  <c r="H5" i="1" s="1"/>
  <c r="J4" i="1"/>
  <c r="F4" i="1"/>
  <c r="G4" i="1" s="1"/>
  <c r="H4" i="1" s="1"/>
  <c r="J3" i="1"/>
  <c r="F3" i="1"/>
  <c r="G3" i="1" s="1"/>
  <c r="H3" i="1" s="1"/>
  <c r="F2" i="1"/>
  <c r="G2" i="1" s="1"/>
  <c r="H2" i="1" s="1"/>
  <c r="C106" i="2" l="1"/>
  <c r="D131" i="2" s="1"/>
  <c r="D110" i="2" l="1"/>
  <c r="D113" i="2"/>
  <c r="D129" i="2"/>
  <c r="D114" i="2"/>
  <c r="D139" i="2"/>
  <c r="D123" i="2"/>
  <c r="D125" i="2"/>
  <c r="D132" i="2"/>
  <c r="D120" i="2"/>
  <c r="D118" i="2"/>
  <c r="D135" i="2"/>
  <c r="D117" i="2"/>
  <c r="D137" i="2"/>
  <c r="D133" i="2"/>
  <c r="D138" i="2"/>
  <c r="D112" i="2"/>
  <c r="D111" i="2"/>
  <c r="D116" i="2"/>
  <c r="D128" i="2"/>
  <c r="D136" i="2"/>
  <c r="D115" i="2"/>
  <c r="D134" i="2"/>
  <c r="D126" i="2"/>
  <c r="C105" i="2"/>
  <c r="D121" i="2"/>
  <c r="D127" i="2"/>
  <c r="D130" i="2"/>
  <c r="D119" i="2"/>
  <c r="D124" i="2"/>
  <c r="C132" i="2" l="1"/>
  <c r="E132" i="2" s="1"/>
  <c r="F132" i="2" s="1"/>
  <c r="C115" i="2"/>
  <c r="E115" i="2" s="1"/>
  <c r="F115" i="2" s="1"/>
  <c r="C131" i="2"/>
  <c r="E131" i="2" s="1"/>
  <c r="F131" i="2" s="1"/>
  <c r="C129" i="2"/>
  <c r="E129" i="2" s="1"/>
  <c r="F129" i="2" s="1"/>
  <c r="C119" i="2"/>
  <c r="E119" i="2" s="1"/>
  <c r="F119" i="2" s="1"/>
  <c r="C135" i="2"/>
  <c r="E135" i="2" s="1"/>
  <c r="F135" i="2" s="1"/>
  <c r="C116" i="2"/>
  <c r="E116" i="2" s="1"/>
  <c r="F116" i="2" s="1"/>
  <c r="C126" i="2"/>
  <c r="E126" i="2" s="1"/>
  <c r="F126" i="2" s="1"/>
  <c r="C118" i="2"/>
  <c r="E118" i="2" s="1"/>
  <c r="F118" i="2" s="1"/>
  <c r="C114" i="2"/>
  <c r="E114" i="2" s="1"/>
  <c r="F114" i="2" s="1"/>
  <c r="C123" i="2"/>
  <c r="E123" i="2" s="1"/>
  <c r="F123" i="2" s="1"/>
  <c r="C113" i="2"/>
  <c r="E113" i="2" s="1"/>
  <c r="F113" i="2" s="1"/>
  <c r="C137" i="2"/>
  <c r="E137" i="2" s="1"/>
  <c r="F137" i="2" s="1"/>
  <c r="C136" i="2"/>
  <c r="E136" i="2" s="1"/>
  <c r="F136" i="2" s="1"/>
  <c r="C134" i="2"/>
  <c r="E134" i="2" s="1"/>
  <c r="F134" i="2" s="1"/>
  <c r="C120" i="2"/>
  <c r="E120" i="2" s="1"/>
  <c r="F120" i="2" s="1"/>
  <c r="C127" i="2"/>
  <c r="E127" i="2" s="1"/>
  <c r="F127" i="2" s="1"/>
  <c r="C128" i="2"/>
  <c r="E128" i="2" s="1"/>
  <c r="F128" i="2" s="1"/>
  <c r="C112" i="2"/>
  <c r="E112" i="2" s="1"/>
  <c r="F112" i="2" s="1"/>
  <c r="C117" i="2"/>
  <c r="E117" i="2" s="1"/>
  <c r="F117" i="2" s="1"/>
  <c r="C124" i="2"/>
  <c r="E124" i="2" s="1"/>
  <c r="F124" i="2" s="1"/>
  <c r="C130" i="2"/>
  <c r="E130" i="2" s="1"/>
  <c r="F130" i="2" s="1"/>
  <c r="C138" i="2"/>
  <c r="E138" i="2" s="1"/>
  <c r="F138" i="2" s="1"/>
  <c r="C111" i="2"/>
  <c r="E111" i="2" s="1"/>
  <c r="F111" i="2" s="1"/>
  <c r="C133" i="2"/>
  <c r="E133" i="2" s="1"/>
  <c r="F133" i="2" s="1"/>
  <c r="C122" i="2"/>
  <c r="E122" i="2" s="1"/>
  <c r="F122" i="2" s="1"/>
  <c r="C125" i="2"/>
  <c r="E125" i="2" s="1"/>
  <c r="F125" i="2" s="1"/>
  <c r="C139" i="2"/>
  <c r="E139" i="2" s="1"/>
  <c r="F139" i="2" s="1"/>
  <c r="C121" i="2"/>
  <c r="E121" i="2" s="1"/>
  <c r="F121" i="2" s="1"/>
  <c r="E110" i="2"/>
  <c r="F110" i="2"/>
  <c r="G117" i="2" s="1"/>
  <c r="G127" i="2" l="1"/>
  <c r="G113" i="2"/>
  <c r="G116" i="2"/>
  <c r="G126" i="2"/>
  <c r="G110" i="2"/>
  <c r="G138" i="2"/>
  <c r="G114" i="2"/>
  <c r="G122" i="2"/>
  <c r="G112" i="2"/>
  <c r="G134" i="2"/>
  <c r="G131" i="2"/>
  <c r="G129" i="2"/>
  <c r="G125" i="2"/>
  <c r="G115" i="2"/>
  <c r="G120" i="2"/>
  <c r="G139" i="2"/>
  <c r="G124" i="2"/>
  <c r="G135" i="2"/>
  <c r="G111" i="2"/>
  <c r="G137" i="2"/>
  <c r="G130" i="2"/>
  <c r="G136" i="2"/>
  <c r="G119" i="2"/>
  <c r="G118" i="2"/>
  <c r="G128" i="2"/>
  <c r="G123" i="2"/>
  <c r="G132" i="2"/>
  <c r="G121" i="2"/>
  <c r="G133" i="2"/>
</calcChain>
</file>

<file path=xl/sharedStrings.xml><?xml version="1.0" encoding="utf-8"?>
<sst xmlns="http://schemas.openxmlformats.org/spreadsheetml/2006/main" count="360" uniqueCount="107">
  <si>
    <t>Kode</t>
  </si>
  <si>
    <t>Nama Barang</t>
  </si>
  <si>
    <t>Harga Modal</t>
  </si>
  <si>
    <t>Harga Jual</t>
  </si>
  <si>
    <t>Margin</t>
  </si>
  <si>
    <t>Persentase Margin</t>
  </si>
  <si>
    <t>Nilai Margin (C4)</t>
  </si>
  <si>
    <t>Nilai Harga Modal (C3)</t>
  </si>
  <si>
    <t>A1</t>
  </si>
  <si>
    <t>Bola Basket</t>
  </si>
  <si>
    <t>A2</t>
  </si>
  <si>
    <t>Bola Futsal</t>
  </si>
  <si>
    <t>A3</t>
  </si>
  <si>
    <t>Bola Takraw</t>
  </si>
  <si>
    <t>A4</t>
  </si>
  <si>
    <t>Senar Raket</t>
  </si>
  <si>
    <t>A5</t>
  </si>
  <si>
    <t>Grip Karet</t>
  </si>
  <si>
    <t>A6</t>
  </si>
  <si>
    <t>Grip Handuk</t>
  </si>
  <si>
    <t>A7</t>
  </si>
  <si>
    <t>Kacamata Renang</t>
  </si>
  <si>
    <t>A8</t>
  </si>
  <si>
    <t>Topi Renang</t>
  </si>
  <si>
    <t>A9</t>
  </si>
  <si>
    <t>Papan Pelampung</t>
  </si>
  <si>
    <t>A10</t>
  </si>
  <si>
    <t>Ring Basket</t>
  </si>
  <si>
    <t>A11</t>
  </si>
  <si>
    <t>Jaring Ring Basket</t>
  </si>
  <si>
    <t>A12</t>
  </si>
  <si>
    <t>Pompa Bola</t>
  </si>
  <si>
    <t>A13</t>
  </si>
  <si>
    <t>Pelindung Lutut</t>
  </si>
  <si>
    <t>A14</t>
  </si>
  <si>
    <t>Pelindung Siku</t>
  </si>
  <si>
    <t>A15</t>
  </si>
  <si>
    <t>Pelindung Tulang Kering</t>
  </si>
  <si>
    <t>A16</t>
  </si>
  <si>
    <t>Tali Skiping</t>
  </si>
  <si>
    <t>A17</t>
  </si>
  <si>
    <t>Stop Watch</t>
  </si>
  <si>
    <t>A18</t>
  </si>
  <si>
    <t>Hand Grip</t>
  </si>
  <si>
    <t>A19</t>
  </si>
  <si>
    <t>Jersey Futsal</t>
  </si>
  <si>
    <t>A20</t>
  </si>
  <si>
    <t>Jersey Volly</t>
  </si>
  <si>
    <t>A21</t>
  </si>
  <si>
    <t>Jersey Basket</t>
  </si>
  <si>
    <t>A22</t>
  </si>
  <si>
    <t>Raket Badminton</t>
  </si>
  <si>
    <t>A23</t>
  </si>
  <si>
    <t>Raket Tenis</t>
  </si>
  <si>
    <t>A24</t>
  </si>
  <si>
    <t>Raket Tenis Meja</t>
  </si>
  <si>
    <t>A25</t>
  </si>
  <si>
    <t>Gitar Akustik</t>
  </si>
  <si>
    <t>A26</t>
  </si>
  <si>
    <t>Gitar Elektrik</t>
  </si>
  <si>
    <t>A27</t>
  </si>
  <si>
    <t>Ukulele</t>
  </si>
  <si>
    <t>A28</t>
  </si>
  <si>
    <t>Drum Set</t>
  </si>
  <si>
    <t>A29</t>
  </si>
  <si>
    <t>Cajon</t>
  </si>
  <si>
    <t>A30</t>
  </si>
  <si>
    <t>Tamborin</t>
  </si>
  <si>
    <t>LANGKAH 1 — MATRIKS KEPUTUSAN (X)</t>
  </si>
  <si>
    <t>No</t>
  </si>
  <si>
    <t>Alternatif</t>
  </si>
  <si>
    <t>C1
Tingkat Penjualan
(Benefit)</t>
  </si>
  <si>
    <t>C2
Stok Tersisa
(Cost)</t>
  </si>
  <si>
    <t>C3
Harga Modal
(Cost)</t>
  </si>
  <si>
    <t>C4
Margin Keuntungan
(Benefit)</t>
  </si>
  <si>
    <t>PEMBAGI NORMALISASI  [ =SQRT(SUMSQ(kolom)) ]</t>
  </si>
  <si>
    <t>Pembagi</t>
  </si>
  <si>
    <t>Nilai per Kriteria</t>
  </si>
  <si>
    <t>LANGKAH 3 — MATRIKS NORMALISASI TERBOBOT (Y)   Yij = Rij × Wj</t>
  </si>
  <si>
    <t>Y_C1
Benefit
W=0.35</t>
  </si>
  <si>
    <t>Y_C2
Cost
W=0.25</t>
  </si>
  <si>
    <t>Y_C3
Cost
W=0.15</t>
  </si>
  <si>
    <t>Y_C4
Benefit
W=0.25</t>
  </si>
  <si>
    <t>LANGKAH 4 — SOLUSI IDEAL POSITIF (A+) DAN NEGATIF (A−)</t>
  </si>
  <si>
    <t>Solusi</t>
  </si>
  <si>
    <t>Keterangan</t>
  </si>
  <si>
    <t>A+</t>
  </si>
  <si>
    <t>Solusi Ideal Positif</t>
  </si>
  <si>
    <t>A−</t>
  </si>
  <si>
    <t>Solusi Ideal Negatif</t>
  </si>
  <si>
    <t>C1</t>
  </si>
  <si>
    <t>C2</t>
  </si>
  <si>
    <t>C3</t>
  </si>
  <si>
    <t>C4</t>
  </si>
  <si>
    <t>LANGKAH 5 — JARAK D+, D−, NILAI PREFERENSI (Vi), DAN RANKING</t>
  </si>
  <si>
    <t>D+
(Jarak Ideal+)</t>
  </si>
  <si>
    <t>D−
(Jarak Ideal−)</t>
  </si>
  <si>
    <t>Vi
(Nilai Preferensi)</t>
  </si>
  <si>
    <t>Ranking</t>
  </si>
  <si>
    <t xml:space="preserve"> </t>
  </si>
  <si>
    <t>SUM</t>
  </si>
  <si>
    <t>Keterangan: Semakin tinggi nilai Vi → semakin diprioritaskan untuk pengadaan stok | Semua rumus aktif &amp; saling terhubung otomatis</t>
  </si>
  <si>
    <t>((</t>
  </si>
  <si>
    <t>bikin data stok</t>
  </si>
  <si>
    <t>nilai stok</t>
  </si>
  <si>
    <t>Stok Tersisa</t>
  </si>
  <si>
    <t>Stok Tersisa (C2)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</si>
</sst>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"/>
    <numFmt numFmtId="165" formatCode="0.00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1F4E79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F2F9FF"/>
        <bgColor rgb="FFFFFFFF"/>
      </patternFill>
    </fill>
    <fill>
      <patternFill patternType="solid">
        <fgColor rgb="FFFFFFFF"/>
        <bgColor rgb="FFF2F9FF"/>
      </patternFill>
    </fill>
    <fill>
      <patternFill patternType="solid">
        <fgColor rgb="FFBDD7EE"/>
        <bgColor rgb="FF99CCFF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0" xfId="0" applyNumberFormat="1"/>
    <xf numFmtId="0" fontId="3" fillId="4" borderId="11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left" vertical="center"/>
    </xf>
    <xf numFmtId="0" fontId="4" fillId="6" borderId="11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left" vertical="center"/>
    </xf>
    <xf numFmtId="0" fontId="6" fillId="7" borderId="11" xfId="0" applyFont="1" applyFill="1" applyBorder="1" applyAlignment="1">
      <alignment horizontal="center" vertical="center" wrapText="1"/>
    </xf>
    <xf numFmtId="165" fontId="6" fillId="8" borderId="1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6" fillId="8" borderId="11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left" vertic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B298-AD17-4EA5-B169-AC8C0FBDEAAA}">
  <dimension ref="A1:M31"/>
  <sheetViews>
    <sheetView zoomScale="97" workbookViewId="0">
      <selection activeCell="J2" sqref="J2"/>
    </sheetView>
  </sheetViews>
  <sheetFormatPr defaultRowHeight="14.4" x14ac:dyDescent="0.3"/>
  <cols>
    <col min="1" max="1" width="7.33203125" style="1" customWidth="1"/>
    <col min="2" max="2" width="20" customWidth="1"/>
    <col min="3" max="3" width="14.88671875" style="1" customWidth="1"/>
    <col min="4" max="5" width="17.21875" style="17" customWidth="1"/>
    <col min="6" max="7" width="17.21875" customWidth="1"/>
    <col min="8" max="8" width="17.88671875" customWidth="1"/>
    <col min="9" max="9" width="18" customWidth="1"/>
    <col min="10" max="10" width="20.6640625" customWidth="1"/>
  </cols>
  <sheetData>
    <row r="1" spans="1:13" x14ac:dyDescent="0.3">
      <c r="A1" s="11" t="s">
        <v>0</v>
      </c>
      <c r="B1" s="8" t="s">
        <v>1</v>
      </c>
      <c r="C1" s="9" t="s">
        <v>105</v>
      </c>
      <c r="D1" s="14" t="s">
        <v>2</v>
      </c>
      <c r="E1" s="14" t="s">
        <v>3</v>
      </c>
      <c r="F1" s="9" t="s">
        <v>4</v>
      </c>
      <c r="G1" s="9" t="s">
        <v>5</v>
      </c>
      <c r="H1" s="9" t="s">
        <v>6</v>
      </c>
      <c r="I1" s="36" t="s">
        <v>106</v>
      </c>
      <c r="J1" s="10" t="s">
        <v>7</v>
      </c>
    </row>
    <row r="2" spans="1:13" x14ac:dyDescent="0.3">
      <c r="A2" s="12" t="s">
        <v>8</v>
      </c>
      <c r="B2" s="2" t="s">
        <v>9</v>
      </c>
      <c r="C2" s="3">
        <v>10</v>
      </c>
      <c r="D2" s="15">
        <v>250000</v>
      </c>
      <c r="E2" s="15">
        <v>325000</v>
      </c>
      <c r="F2" s="3">
        <f t="shared" ref="F2:F31" si="0">E2-D2</f>
        <v>75000</v>
      </c>
      <c r="G2" s="3">
        <f t="shared" ref="G2:G31" si="1">(F2/D2)*100</f>
        <v>30</v>
      </c>
      <c r="H2" s="3">
        <f t="shared" ref="H2:H31" si="2">IF(G2&gt;40,5,IF(G2&gt;=31,4,IF(G2&gt;=21,3,IF(G2&gt;=11,2,1))))</f>
        <v>3</v>
      </c>
      <c r="I2" s="37">
        <f>IF(C2&lt;=3,5,IF(C2&lt;=7,4,IF(C2&lt;=12,3,IF(C2&lt;=20,2,1))))</f>
        <v>3</v>
      </c>
      <c r="J2" s="4">
        <f>IF(D2&lt;=50000,5,IF(D2&lt;=150000,4,IF(D2&lt;=300000,3,IF(D2&lt;=500000,2,1))))</f>
        <v>3</v>
      </c>
    </row>
    <row r="3" spans="1:13" x14ac:dyDescent="0.3">
      <c r="A3" s="12" t="s">
        <v>10</v>
      </c>
      <c r="B3" s="2" t="s">
        <v>11</v>
      </c>
      <c r="C3" s="3">
        <v>15</v>
      </c>
      <c r="D3" s="15">
        <v>250000</v>
      </c>
      <c r="E3" s="15">
        <v>450000</v>
      </c>
      <c r="F3" s="3">
        <f t="shared" si="0"/>
        <v>200000</v>
      </c>
      <c r="G3" s="3">
        <f t="shared" si="1"/>
        <v>80</v>
      </c>
      <c r="H3" s="3">
        <f t="shared" si="2"/>
        <v>5</v>
      </c>
      <c r="I3" s="37">
        <f t="shared" ref="I3:I31" si="3">IF(C3&lt;=3,5,IF(C3&lt;=7,4,IF(C3&lt;=12,3,IF(C3&lt;=20,2,1))))</f>
        <v>2</v>
      </c>
      <c r="J3" s="4">
        <f t="shared" ref="J2:J31" si="4">IF(D3&lt;=50000,5,IF(D3&lt;=150000,4,IF(D3&lt;=300000,3,IF(D3&lt;=500000,2,1))))</f>
        <v>3</v>
      </c>
    </row>
    <row r="4" spans="1:13" x14ac:dyDescent="0.3">
      <c r="A4" s="12" t="s">
        <v>12</v>
      </c>
      <c r="B4" s="2" t="s">
        <v>13</v>
      </c>
      <c r="C4" s="3">
        <v>6</v>
      </c>
      <c r="D4" s="15">
        <v>120000</v>
      </c>
      <c r="E4" s="15">
        <v>150000</v>
      </c>
      <c r="F4" s="3">
        <f t="shared" si="0"/>
        <v>30000</v>
      </c>
      <c r="G4" s="3">
        <f t="shared" si="1"/>
        <v>25</v>
      </c>
      <c r="H4" s="3">
        <f t="shared" si="2"/>
        <v>3</v>
      </c>
      <c r="I4" s="37">
        <f t="shared" si="3"/>
        <v>4</v>
      </c>
      <c r="J4" s="4">
        <f t="shared" si="4"/>
        <v>4</v>
      </c>
    </row>
    <row r="5" spans="1:13" x14ac:dyDescent="0.3">
      <c r="A5" s="12" t="s">
        <v>14</v>
      </c>
      <c r="B5" s="2" t="s">
        <v>15</v>
      </c>
      <c r="C5" s="3">
        <v>18</v>
      </c>
      <c r="D5" s="15">
        <v>40000</v>
      </c>
      <c r="E5" s="15">
        <v>65000</v>
      </c>
      <c r="F5" s="3">
        <f t="shared" si="0"/>
        <v>25000</v>
      </c>
      <c r="G5" s="3">
        <f t="shared" si="1"/>
        <v>62.5</v>
      </c>
      <c r="H5" s="3">
        <f t="shared" si="2"/>
        <v>5</v>
      </c>
      <c r="I5" s="37">
        <f t="shared" si="3"/>
        <v>2</v>
      </c>
      <c r="J5" s="4">
        <f t="shared" si="4"/>
        <v>5</v>
      </c>
      <c r="K5" t="s">
        <v>103</v>
      </c>
      <c r="M5" t="s">
        <v>104</v>
      </c>
    </row>
    <row r="6" spans="1:13" x14ac:dyDescent="0.3">
      <c r="A6" s="12" t="s">
        <v>16</v>
      </c>
      <c r="B6" s="2" t="s">
        <v>17</v>
      </c>
      <c r="C6" s="3">
        <v>5</v>
      </c>
      <c r="D6" s="15">
        <v>40000</v>
      </c>
      <c r="E6" s="15">
        <v>50000</v>
      </c>
      <c r="F6" s="3">
        <f t="shared" si="0"/>
        <v>10000</v>
      </c>
      <c r="G6" s="3">
        <f t="shared" si="1"/>
        <v>25</v>
      </c>
      <c r="H6" s="3">
        <f t="shared" si="2"/>
        <v>3</v>
      </c>
      <c r="I6" s="37">
        <f t="shared" si="3"/>
        <v>4</v>
      </c>
      <c r="J6" s="4">
        <f t="shared" si="4"/>
        <v>5</v>
      </c>
    </row>
    <row r="7" spans="1:13" x14ac:dyDescent="0.3">
      <c r="A7" s="12" t="s">
        <v>18</v>
      </c>
      <c r="B7" s="2" t="s">
        <v>19</v>
      </c>
      <c r="C7" s="3">
        <v>2</v>
      </c>
      <c r="D7" s="15">
        <v>45000</v>
      </c>
      <c r="E7" s="15">
        <v>60000</v>
      </c>
      <c r="F7" s="3">
        <f t="shared" si="0"/>
        <v>15000</v>
      </c>
      <c r="G7" s="3">
        <f t="shared" si="1"/>
        <v>33.333333333333329</v>
      </c>
      <c r="H7" s="3">
        <f t="shared" si="2"/>
        <v>4</v>
      </c>
      <c r="I7" s="37">
        <f t="shared" si="3"/>
        <v>5</v>
      </c>
      <c r="J7" s="4">
        <f t="shared" si="4"/>
        <v>5</v>
      </c>
    </row>
    <row r="8" spans="1:13" x14ac:dyDescent="0.3">
      <c r="A8" s="12" t="s">
        <v>20</v>
      </c>
      <c r="B8" s="2" t="s">
        <v>21</v>
      </c>
      <c r="C8" s="3">
        <v>9</v>
      </c>
      <c r="D8" s="15">
        <v>250000</v>
      </c>
      <c r="E8" s="15">
        <v>325000</v>
      </c>
      <c r="F8" s="3">
        <f t="shared" si="0"/>
        <v>75000</v>
      </c>
      <c r="G8" s="3">
        <f t="shared" si="1"/>
        <v>30</v>
      </c>
      <c r="H8" s="3">
        <f t="shared" si="2"/>
        <v>3</v>
      </c>
      <c r="I8" s="37">
        <f t="shared" si="3"/>
        <v>3</v>
      </c>
      <c r="J8" s="4">
        <f t="shared" si="4"/>
        <v>3</v>
      </c>
    </row>
    <row r="9" spans="1:13" x14ac:dyDescent="0.3">
      <c r="A9" s="12" t="s">
        <v>22</v>
      </c>
      <c r="B9" s="2" t="s">
        <v>23</v>
      </c>
      <c r="C9" s="3">
        <v>11</v>
      </c>
      <c r="D9" s="15">
        <v>120000</v>
      </c>
      <c r="E9" s="15">
        <v>140000</v>
      </c>
      <c r="F9" s="3">
        <f t="shared" si="0"/>
        <v>20000</v>
      </c>
      <c r="G9" s="3">
        <f t="shared" si="1"/>
        <v>16.666666666666664</v>
      </c>
      <c r="H9" s="3">
        <f t="shared" si="2"/>
        <v>2</v>
      </c>
      <c r="I9" s="37">
        <f t="shared" si="3"/>
        <v>3</v>
      </c>
      <c r="J9" s="4">
        <f t="shared" si="4"/>
        <v>4</v>
      </c>
    </row>
    <row r="10" spans="1:13" x14ac:dyDescent="0.3">
      <c r="A10" s="12" t="s">
        <v>24</v>
      </c>
      <c r="B10" s="2" t="s">
        <v>25</v>
      </c>
      <c r="C10" s="3">
        <v>14</v>
      </c>
      <c r="D10" s="15">
        <v>100000</v>
      </c>
      <c r="E10" s="15">
        <v>150000</v>
      </c>
      <c r="F10" s="3">
        <f t="shared" si="0"/>
        <v>50000</v>
      </c>
      <c r="G10" s="3">
        <f t="shared" si="1"/>
        <v>50</v>
      </c>
      <c r="H10" s="3">
        <f t="shared" si="2"/>
        <v>5</v>
      </c>
      <c r="I10" s="37">
        <f t="shared" si="3"/>
        <v>2</v>
      </c>
      <c r="J10" s="4">
        <f t="shared" si="4"/>
        <v>4</v>
      </c>
    </row>
    <row r="11" spans="1:13" x14ac:dyDescent="0.3">
      <c r="A11" s="12" t="s">
        <v>26</v>
      </c>
      <c r="B11" s="2" t="s">
        <v>27</v>
      </c>
      <c r="C11" s="3">
        <v>7</v>
      </c>
      <c r="D11" s="15">
        <v>650000</v>
      </c>
      <c r="E11" s="15">
        <v>750000</v>
      </c>
      <c r="F11" s="3">
        <f t="shared" si="0"/>
        <v>100000</v>
      </c>
      <c r="G11" s="3">
        <f t="shared" si="1"/>
        <v>15.384615384615385</v>
      </c>
      <c r="H11" s="3">
        <f t="shared" si="2"/>
        <v>2</v>
      </c>
      <c r="I11" s="37">
        <f t="shared" si="3"/>
        <v>4</v>
      </c>
      <c r="J11" s="4">
        <f t="shared" si="4"/>
        <v>1</v>
      </c>
    </row>
    <row r="12" spans="1:13" x14ac:dyDescent="0.3">
      <c r="A12" s="12" t="s">
        <v>28</v>
      </c>
      <c r="B12" s="2" t="s">
        <v>29</v>
      </c>
      <c r="C12" s="3">
        <v>8</v>
      </c>
      <c r="D12" s="15">
        <v>120000</v>
      </c>
      <c r="E12" s="15">
        <v>150000</v>
      </c>
      <c r="F12" s="3">
        <f t="shared" si="0"/>
        <v>30000</v>
      </c>
      <c r="G12" s="3">
        <f t="shared" si="1"/>
        <v>25</v>
      </c>
      <c r="H12" s="3">
        <f t="shared" si="2"/>
        <v>3</v>
      </c>
      <c r="I12" s="37">
        <f t="shared" si="3"/>
        <v>3</v>
      </c>
      <c r="J12" s="4">
        <f t="shared" si="4"/>
        <v>4</v>
      </c>
    </row>
    <row r="13" spans="1:13" x14ac:dyDescent="0.3">
      <c r="A13" s="12" t="s">
        <v>30</v>
      </c>
      <c r="B13" s="2" t="s">
        <v>31</v>
      </c>
      <c r="C13" s="3">
        <v>1</v>
      </c>
      <c r="D13" s="15">
        <v>120000</v>
      </c>
      <c r="E13" s="15">
        <v>150000</v>
      </c>
      <c r="F13" s="3">
        <f t="shared" si="0"/>
        <v>30000</v>
      </c>
      <c r="G13" s="3">
        <f t="shared" si="1"/>
        <v>25</v>
      </c>
      <c r="H13" s="3">
        <f t="shared" si="2"/>
        <v>3</v>
      </c>
      <c r="I13" s="37">
        <f t="shared" si="3"/>
        <v>5</v>
      </c>
      <c r="J13" s="4">
        <f t="shared" si="4"/>
        <v>4</v>
      </c>
    </row>
    <row r="14" spans="1:13" x14ac:dyDescent="0.3">
      <c r="A14" s="12" t="s">
        <v>32</v>
      </c>
      <c r="B14" s="2" t="s">
        <v>33</v>
      </c>
      <c r="C14" s="3">
        <v>12</v>
      </c>
      <c r="D14" s="15">
        <v>250000</v>
      </c>
      <c r="E14" s="15">
        <v>325000</v>
      </c>
      <c r="F14" s="3">
        <f t="shared" si="0"/>
        <v>75000</v>
      </c>
      <c r="G14" s="3">
        <f t="shared" si="1"/>
        <v>30</v>
      </c>
      <c r="H14" s="3">
        <f t="shared" si="2"/>
        <v>3</v>
      </c>
      <c r="I14" s="37">
        <f t="shared" si="3"/>
        <v>3</v>
      </c>
      <c r="J14" s="4">
        <f t="shared" si="4"/>
        <v>3</v>
      </c>
    </row>
    <row r="15" spans="1:13" x14ac:dyDescent="0.3">
      <c r="A15" s="12" t="s">
        <v>34</v>
      </c>
      <c r="B15" s="2" t="s">
        <v>35</v>
      </c>
      <c r="C15" s="3">
        <v>10</v>
      </c>
      <c r="D15" s="15">
        <v>250000</v>
      </c>
      <c r="E15" s="15">
        <v>325000</v>
      </c>
      <c r="F15" s="3">
        <f t="shared" si="0"/>
        <v>75000</v>
      </c>
      <c r="G15" s="3">
        <f t="shared" si="1"/>
        <v>30</v>
      </c>
      <c r="H15" s="3">
        <f t="shared" si="2"/>
        <v>3</v>
      </c>
      <c r="I15" s="37">
        <f t="shared" si="3"/>
        <v>3</v>
      </c>
      <c r="J15" s="4">
        <f t="shared" si="4"/>
        <v>3</v>
      </c>
    </row>
    <row r="16" spans="1:13" x14ac:dyDescent="0.3">
      <c r="A16" s="12" t="s">
        <v>36</v>
      </c>
      <c r="B16" s="2" t="s">
        <v>37</v>
      </c>
      <c r="C16" s="3">
        <v>6</v>
      </c>
      <c r="D16" s="15">
        <v>250000</v>
      </c>
      <c r="E16" s="15">
        <v>325000</v>
      </c>
      <c r="F16" s="3">
        <f t="shared" si="0"/>
        <v>75000</v>
      </c>
      <c r="G16" s="3">
        <f t="shared" si="1"/>
        <v>30</v>
      </c>
      <c r="H16" s="3">
        <f t="shared" si="2"/>
        <v>3</v>
      </c>
      <c r="I16" s="37">
        <f t="shared" si="3"/>
        <v>4</v>
      </c>
      <c r="J16" s="4">
        <f t="shared" si="4"/>
        <v>3</v>
      </c>
    </row>
    <row r="17" spans="1:10" x14ac:dyDescent="0.3">
      <c r="A17" s="12" t="s">
        <v>38</v>
      </c>
      <c r="B17" s="2" t="s">
        <v>39</v>
      </c>
      <c r="C17" s="3">
        <v>4</v>
      </c>
      <c r="D17" s="15">
        <v>120000</v>
      </c>
      <c r="E17" s="15">
        <v>125000</v>
      </c>
      <c r="F17" s="3">
        <f t="shared" si="0"/>
        <v>5000</v>
      </c>
      <c r="G17" s="3">
        <f t="shared" si="1"/>
        <v>4.1666666666666661</v>
      </c>
      <c r="H17" s="3">
        <f t="shared" si="2"/>
        <v>1</v>
      </c>
      <c r="I17" s="37">
        <f t="shared" si="3"/>
        <v>4</v>
      </c>
      <c r="J17" s="4">
        <f t="shared" si="4"/>
        <v>4</v>
      </c>
    </row>
    <row r="18" spans="1:10" x14ac:dyDescent="0.3">
      <c r="A18" s="12" t="s">
        <v>40</v>
      </c>
      <c r="B18" s="2" t="s">
        <v>41</v>
      </c>
      <c r="C18" s="3">
        <v>16</v>
      </c>
      <c r="D18" s="15">
        <v>100000</v>
      </c>
      <c r="E18" s="15">
        <v>125000</v>
      </c>
      <c r="F18" s="3">
        <f t="shared" si="0"/>
        <v>25000</v>
      </c>
      <c r="G18" s="3">
        <f t="shared" si="1"/>
        <v>25</v>
      </c>
      <c r="H18" s="3">
        <f t="shared" si="2"/>
        <v>3</v>
      </c>
      <c r="I18" s="37">
        <f t="shared" si="3"/>
        <v>2</v>
      </c>
      <c r="J18" s="4">
        <f t="shared" si="4"/>
        <v>4</v>
      </c>
    </row>
    <row r="19" spans="1:10" x14ac:dyDescent="0.3">
      <c r="A19" s="12" t="s">
        <v>42</v>
      </c>
      <c r="B19" s="2" t="s">
        <v>43</v>
      </c>
      <c r="C19" s="3">
        <v>5</v>
      </c>
      <c r="D19" s="15">
        <v>120000</v>
      </c>
      <c r="E19" s="15">
        <v>150000</v>
      </c>
      <c r="F19" s="3">
        <f t="shared" si="0"/>
        <v>30000</v>
      </c>
      <c r="G19" s="3">
        <f t="shared" si="1"/>
        <v>25</v>
      </c>
      <c r="H19" s="3">
        <f t="shared" si="2"/>
        <v>3</v>
      </c>
      <c r="I19" s="37">
        <f t="shared" si="3"/>
        <v>4</v>
      </c>
      <c r="J19" s="4">
        <f t="shared" si="4"/>
        <v>4</v>
      </c>
    </row>
    <row r="20" spans="1:10" x14ac:dyDescent="0.3">
      <c r="A20" s="12" t="s">
        <v>44</v>
      </c>
      <c r="B20" s="2" t="s">
        <v>45</v>
      </c>
      <c r="C20" s="3">
        <v>9</v>
      </c>
      <c r="D20" s="15">
        <v>250000</v>
      </c>
      <c r="E20" s="15">
        <v>325000</v>
      </c>
      <c r="F20" s="3">
        <f t="shared" si="0"/>
        <v>75000</v>
      </c>
      <c r="G20" s="3">
        <f t="shared" si="1"/>
        <v>30</v>
      </c>
      <c r="H20" s="3">
        <f t="shared" si="2"/>
        <v>3</v>
      </c>
      <c r="I20" s="37">
        <f t="shared" si="3"/>
        <v>3</v>
      </c>
      <c r="J20" s="4">
        <f t="shared" si="4"/>
        <v>3</v>
      </c>
    </row>
    <row r="21" spans="1:10" x14ac:dyDescent="0.3">
      <c r="A21" s="12" t="s">
        <v>46</v>
      </c>
      <c r="B21" s="2" t="s">
        <v>47</v>
      </c>
      <c r="C21" s="3">
        <v>11</v>
      </c>
      <c r="D21" s="15">
        <v>250000</v>
      </c>
      <c r="E21" s="15">
        <v>325000</v>
      </c>
      <c r="F21" s="3">
        <f t="shared" si="0"/>
        <v>75000</v>
      </c>
      <c r="G21" s="3">
        <f t="shared" si="1"/>
        <v>30</v>
      </c>
      <c r="H21" s="3">
        <f t="shared" si="2"/>
        <v>3</v>
      </c>
      <c r="I21" s="37">
        <f t="shared" si="3"/>
        <v>3</v>
      </c>
      <c r="J21" s="4">
        <f t="shared" si="4"/>
        <v>3</v>
      </c>
    </row>
    <row r="22" spans="1:10" x14ac:dyDescent="0.3">
      <c r="A22" s="12" t="s">
        <v>48</v>
      </c>
      <c r="B22" s="2" t="s">
        <v>49</v>
      </c>
      <c r="C22" s="3">
        <v>8</v>
      </c>
      <c r="D22" s="15">
        <v>250000</v>
      </c>
      <c r="E22" s="15">
        <v>325000</v>
      </c>
      <c r="F22" s="3">
        <f t="shared" si="0"/>
        <v>75000</v>
      </c>
      <c r="G22" s="3">
        <f t="shared" si="1"/>
        <v>30</v>
      </c>
      <c r="H22" s="3">
        <f t="shared" si="2"/>
        <v>3</v>
      </c>
      <c r="I22" s="37">
        <f t="shared" si="3"/>
        <v>3</v>
      </c>
      <c r="J22" s="4">
        <f t="shared" si="4"/>
        <v>3</v>
      </c>
    </row>
    <row r="23" spans="1:10" x14ac:dyDescent="0.3">
      <c r="A23" s="12" t="s">
        <v>50</v>
      </c>
      <c r="B23" s="2" t="s">
        <v>51</v>
      </c>
      <c r="C23" s="3">
        <v>17</v>
      </c>
      <c r="D23" s="15">
        <v>500000</v>
      </c>
      <c r="E23" s="15">
        <v>600000</v>
      </c>
      <c r="F23" s="3">
        <f t="shared" si="0"/>
        <v>100000</v>
      </c>
      <c r="G23" s="3">
        <f t="shared" si="1"/>
        <v>20</v>
      </c>
      <c r="H23" s="3">
        <f t="shared" si="2"/>
        <v>2</v>
      </c>
      <c r="I23" s="37">
        <f t="shared" si="3"/>
        <v>2</v>
      </c>
      <c r="J23" s="4">
        <f t="shared" si="4"/>
        <v>2</v>
      </c>
    </row>
    <row r="24" spans="1:10" x14ac:dyDescent="0.3">
      <c r="A24" s="12" t="s">
        <v>52</v>
      </c>
      <c r="B24" s="2" t="s">
        <v>53</v>
      </c>
      <c r="C24" s="3">
        <v>7</v>
      </c>
      <c r="D24" s="15">
        <v>650000</v>
      </c>
      <c r="E24" s="15">
        <v>700000</v>
      </c>
      <c r="F24" s="3">
        <f t="shared" si="0"/>
        <v>50000</v>
      </c>
      <c r="G24" s="3">
        <f t="shared" si="1"/>
        <v>7.6923076923076925</v>
      </c>
      <c r="H24" s="3">
        <f t="shared" si="2"/>
        <v>1</v>
      </c>
      <c r="I24" s="37">
        <f t="shared" si="3"/>
        <v>4</v>
      </c>
      <c r="J24" s="4">
        <f t="shared" si="4"/>
        <v>1</v>
      </c>
    </row>
    <row r="25" spans="1:10" x14ac:dyDescent="0.3">
      <c r="A25" s="12" t="s">
        <v>54</v>
      </c>
      <c r="B25" s="2" t="s">
        <v>55</v>
      </c>
      <c r="C25" s="3">
        <v>6</v>
      </c>
      <c r="D25" s="15">
        <v>450000</v>
      </c>
      <c r="E25" s="15">
        <v>525000</v>
      </c>
      <c r="F25" s="3">
        <f t="shared" si="0"/>
        <v>75000</v>
      </c>
      <c r="G25" s="3">
        <f t="shared" si="1"/>
        <v>16.666666666666664</v>
      </c>
      <c r="H25" s="3">
        <f t="shared" si="2"/>
        <v>2</v>
      </c>
      <c r="I25" s="37">
        <f t="shared" si="3"/>
        <v>4</v>
      </c>
      <c r="J25" s="4">
        <f t="shared" si="4"/>
        <v>2</v>
      </c>
    </row>
    <row r="26" spans="1:10" x14ac:dyDescent="0.3">
      <c r="A26" s="12" t="s">
        <v>56</v>
      </c>
      <c r="B26" s="2" t="s">
        <v>57</v>
      </c>
      <c r="C26" s="3">
        <v>13</v>
      </c>
      <c r="D26" s="15">
        <v>650000</v>
      </c>
      <c r="E26" s="15">
        <v>750000</v>
      </c>
      <c r="F26" s="3">
        <f t="shared" si="0"/>
        <v>100000</v>
      </c>
      <c r="G26" s="3">
        <f t="shared" si="1"/>
        <v>15.384615384615385</v>
      </c>
      <c r="H26" s="3">
        <f t="shared" si="2"/>
        <v>2</v>
      </c>
      <c r="I26" s="37">
        <f t="shared" si="3"/>
        <v>2</v>
      </c>
      <c r="J26" s="4">
        <f t="shared" si="4"/>
        <v>1</v>
      </c>
    </row>
    <row r="27" spans="1:10" x14ac:dyDescent="0.3">
      <c r="A27" s="12" t="s">
        <v>58</v>
      </c>
      <c r="B27" s="2" t="s">
        <v>59</v>
      </c>
      <c r="C27" s="3">
        <v>19</v>
      </c>
      <c r="D27" s="15">
        <v>650000</v>
      </c>
      <c r="E27" s="15">
        <v>750000</v>
      </c>
      <c r="F27" s="3">
        <f t="shared" si="0"/>
        <v>100000</v>
      </c>
      <c r="G27" s="3">
        <f t="shared" si="1"/>
        <v>15.384615384615385</v>
      </c>
      <c r="H27" s="3">
        <f t="shared" si="2"/>
        <v>2</v>
      </c>
      <c r="I27" s="37">
        <f t="shared" si="3"/>
        <v>2</v>
      </c>
      <c r="J27" s="4">
        <f t="shared" si="4"/>
        <v>1</v>
      </c>
    </row>
    <row r="28" spans="1:10" x14ac:dyDescent="0.3">
      <c r="A28" s="12" t="s">
        <v>60</v>
      </c>
      <c r="B28" s="2" t="s">
        <v>61</v>
      </c>
      <c r="C28" s="3">
        <v>4</v>
      </c>
      <c r="D28" s="15">
        <v>505000</v>
      </c>
      <c r="E28" s="15">
        <v>700000</v>
      </c>
      <c r="F28" s="3">
        <f t="shared" si="0"/>
        <v>195000</v>
      </c>
      <c r="G28" s="3">
        <f t="shared" si="1"/>
        <v>38.613861386138616</v>
      </c>
      <c r="H28" s="3">
        <f t="shared" si="2"/>
        <v>4</v>
      </c>
      <c r="I28" s="37">
        <f t="shared" si="3"/>
        <v>4</v>
      </c>
      <c r="J28" s="4">
        <f t="shared" si="4"/>
        <v>1</v>
      </c>
    </row>
    <row r="29" spans="1:10" x14ac:dyDescent="0.3">
      <c r="A29" s="12" t="s">
        <v>62</v>
      </c>
      <c r="B29" s="2" t="s">
        <v>63</v>
      </c>
      <c r="C29" s="3">
        <v>15</v>
      </c>
      <c r="D29" s="15">
        <v>650000</v>
      </c>
      <c r="E29" s="15">
        <v>800000</v>
      </c>
      <c r="F29" s="3">
        <f t="shared" si="0"/>
        <v>150000</v>
      </c>
      <c r="G29" s="3">
        <f t="shared" si="1"/>
        <v>23.076923076923077</v>
      </c>
      <c r="H29" s="3">
        <f t="shared" si="2"/>
        <v>3</v>
      </c>
      <c r="I29" s="37">
        <f t="shared" si="3"/>
        <v>2</v>
      </c>
      <c r="J29" s="4">
        <f t="shared" si="4"/>
        <v>1</v>
      </c>
    </row>
    <row r="30" spans="1:10" x14ac:dyDescent="0.3">
      <c r="A30" s="12" t="s">
        <v>64</v>
      </c>
      <c r="B30" s="2" t="s">
        <v>65</v>
      </c>
      <c r="C30" s="3">
        <v>18</v>
      </c>
      <c r="D30" s="15">
        <v>450000</v>
      </c>
      <c r="E30" s="15">
        <v>520000</v>
      </c>
      <c r="F30" s="3">
        <f t="shared" si="0"/>
        <v>70000</v>
      </c>
      <c r="G30" s="3">
        <f t="shared" si="1"/>
        <v>15.555555555555555</v>
      </c>
      <c r="H30" s="3">
        <f t="shared" si="2"/>
        <v>2</v>
      </c>
      <c r="I30" s="37">
        <f t="shared" si="3"/>
        <v>2</v>
      </c>
      <c r="J30" s="4">
        <f t="shared" si="4"/>
        <v>2</v>
      </c>
    </row>
    <row r="31" spans="1:10" ht="15" thickBot="1" x14ac:dyDescent="0.35">
      <c r="A31" s="13" t="s">
        <v>66</v>
      </c>
      <c r="B31" s="5" t="s">
        <v>67</v>
      </c>
      <c r="C31" s="6">
        <v>5</v>
      </c>
      <c r="D31" s="16">
        <v>50000</v>
      </c>
      <c r="E31" s="16">
        <v>150000</v>
      </c>
      <c r="F31" s="6">
        <f t="shared" si="0"/>
        <v>100000</v>
      </c>
      <c r="G31" s="6">
        <f t="shared" si="1"/>
        <v>200</v>
      </c>
      <c r="H31" s="6">
        <f t="shared" si="2"/>
        <v>5</v>
      </c>
      <c r="I31" s="37">
        <f t="shared" si="3"/>
        <v>4</v>
      </c>
      <c r="J31" s="7">
        <f t="shared" si="4"/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9F1B-8023-4601-88FE-5E9BE4B8FE06}">
  <dimension ref="A1:U141"/>
  <sheetViews>
    <sheetView tabSelected="1" zoomScale="73" zoomScaleNormal="73" workbookViewId="0">
      <selection activeCell="K25" sqref="K25"/>
    </sheetView>
  </sheetViews>
  <sheetFormatPr defaultRowHeight="14.4" x14ac:dyDescent="0.3"/>
  <cols>
    <col min="2" max="2" width="21.44140625" customWidth="1"/>
    <col min="3" max="6" width="17.44140625" customWidth="1"/>
    <col min="7" max="7" width="12.77734375" customWidth="1"/>
  </cols>
  <sheetData>
    <row r="1" spans="1:6" x14ac:dyDescent="0.3">
      <c r="A1" s="33" t="s">
        <v>68</v>
      </c>
      <c r="B1" s="33"/>
      <c r="C1" s="33"/>
      <c r="D1" s="33"/>
      <c r="E1" s="33"/>
      <c r="F1" s="33"/>
    </row>
    <row r="2" spans="1:6" ht="66" x14ac:dyDescent="0.3">
      <c r="A2" s="18" t="s">
        <v>69</v>
      </c>
      <c r="B2" s="18" t="s">
        <v>70</v>
      </c>
      <c r="C2" s="18" t="s">
        <v>71</v>
      </c>
      <c r="D2" s="18" t="s">
        <v>72</v>
      </c>
      <c r="E2" s="18" t="s">
        <v>73</v>
      </c>
      <c r="F2" s="18" t="s">
        <v>74</v>
      </c>
    </row>
    <row r="3" spans="1:6" x14ac:dyDescent="0.3">
      <c r="A3" s="19" t="s">
        <v>8</v>
      </c>
      <c r="B3" s="19" t="s">
        <v>9</v>
      </c>
      <c r="C3" s="20">
        <v>3</v>
      </c>
      <c r="D3" s="20">
        <v>3</v>
      </c>
      <c r="E3" s="20">
        <v>3</v>
      </c>
      <c r="F3" s="20">
        <v>3</v>
      </c>
    </row>
    <row r="4" spans="1:6" x14ac:dyDescent="0.3">
      <c r="A4" s="21" t="s">
        <v>10</v>
      </c>
      <c r="B4" s="21" t="s">
        <v>11</v>
      </c>
      <c r="C4" s="22">
        <v>2</v>
      </c>
      <c r="D4" s="22">
        <v>2</v>
      </c>
      <c r="E4" s="22">
        <v>3</v>
      </c>
      <c r="F4" s="22">
        <v>5</v>
      </c>
    </row>
    <row r="5" spans="1:6" x14ac:dyDescent="0.3">
      <c r="A5" s="19" t="s">
        <v>12</v>
      </c>
      <c r="B5" s="19" t="s">
        <v>13</v>
      </c>
      <c r="C5" s="20">
        <v>1</v>
      </c>
      <c r="D5" s="20">
        <v>4</v>
      </c>
      <c r="E5" s="20">
        <v>4</v>
      </c>
      <c r="F5" s="20">
        <v>3</v>
      </c>
    </row>
    <row r="6" spans="1:6" x14ac:dyDescent="0.3">
      <c r="A6" s="21" t="s">
        <v>14</v>
      </c>
      <c r="B6" s="21" t="s">
        <v>15</v>
      </c>
      <c r="C6" s="22">
        <v>5</v>
      </c>
      <c r="D6" s="22">
        <v>2</v>
      </c>
      <c r="E6" s="22">
        <v>5</v>
      </c>
      <c r="F6" s="22">
        <v>5</v>
      </c>
    </row>
    <row r="7" spans="1:6" x14ac:dyDescent="0.3">
      <c r="A7" s="19" t="s">
        <v>16</v>
      </c>
      <c r="B7" s="19" t="s">
        <v>17</v>
      </c>
      <c r="C7" s="20">
        <v>4</v>
      </c>
      <c r="D7" s="20">
        <v>4</v>
      </c>
      <c r="E7" s="20">
        <v>5</v>
      </c>
      <c r="F7" s="20">
        <v>3</v>
      </c>
    </row>
    <row r="8" spans="1:6" x14ac:dyDescent="0.3">
      <c r="A8" s="21" t="s">
        <v>18</v>
      </c>
      <c r="B8" s="21" t="s">
        <v>19</v>
      </c>
      <c r="C8" s="22">
        <v>4</v>
      </c>
      <c r="D8" s="22">
        <v>5</v>
      </c>
      <c r="E8" s="22">
        <v>5</v>
      </c>
      <c r="F8" s="22">
        <v>4</v>
      </c>
    </row>
    <row r="9" spans="1:6" x14ac:dyDescent="0.3">
      <c r="A9" s="19" t="s">
        <v>20</v>
      </c>
      <c r="B9" s="19" t="s">
        <v>21</v>
      </c>
      <c r="C9" s="20">
        <v>3</v>
      </c>
      <c r="D9" s="20">
        <v>3</v>
      </c>
      <c r="E9" s="20">
        <v>3</v>
      </c>
      <c r="F9" s="20">
        <v>3</v>
      </c>
    </row>
    <row r="10" spans="1:6" x14ac:dyDescent="0.3">
      <c r="A10" s="21" t="s">
        <v>22</v>
      </c>
      <c r="B10" s="21" t="s">
        <v>23</v>
      </c>
      <c r="C10" s="22">
        <v>2</v>
      </c>
      <c r="D10" s="22">
        <v>3</v>
      </c>
      <c r="E10" s="22">
        <v>4</v>
      </c>
      <c r="F10" s="22">
        <v>2</v>
      </c>
    </row>
    <row r="11" spans="1:6" x14ac:dyDescent="0.3">
      <c r="A11" s="19" t="s">
        <v>24</v>
      </c>
      <c r="B11" s="19" t="s">
        <v>25</v>
      </c>
      <c r="C11" s="20">
        <v>2</v>
      </c>
      <c r="D11" s="20">
        <v>2</v>
      </c>
      <c r="E11" s="20">
        <v>4</v>
      </c>
      <c r="F11" s="20">
        <v>5</v>
      </c>
    </row>
    <row r="12" spans="1:6" x14ac:dyDescent="0.3">
      <c r="A12" s="21" t="s">
        <v>26</v>
      </c>
      <c r="B12" s="21" t="s">
        <v>27</v>
      </c>
      <c r="C12" s="22">
        <v>1</v>
      </c>
      <c r="D12" s="22">
        <v>4</v>
      </c>
      <c r="E12" s="22">
        <v>1</v>
      </c>
      <c r="F12" s="22">
        <v>2</v>
      </c>
    </row>
    <row r="13" spans="1:6" x14ac:dyDescent="0.3">
      <c r="A13" s="19" t="s">
        <v>28</v>
      </c>
      <c r="B13" s="19" t="s">
        <v>29</v>
      </c>
      <c r="C13" s="20">
        <v>2</v>
      </c>
      <c r="D13" s="20">
        <v>3</v>
      </c>
      <c r="E13" s="20">
        <v>4</v>
      </c>
      <c r="F13" s="20">
        <v>3</v>
      </c>
    </row>
    <row r="14" spans="1:6" x14ac:dyDescent="0.3">
      <c r="A14" s="21" t="s">
        <v>30</v>
      </c>
      <c r="B14" s="21" t="s">
        <v>31</v>
      </c>
      <c r="C14" s="22">
        <v>4</v>
      </c>
      <c r="D14" s="22">
        <v>5</v>
      </c>
      <c r="E14" s="22">
        <v>4</v>
      </c>
      <c r="F14" s="22">
        <v>3</v>
      </c>
    </row>
    <row r="15" spans="1:6" x14ac:dyDescent="0.3">
      <c r="A15" s="19" t="s">
        <v>32</v>
      </c>
      <c r="B15" s="19" t="s">
        <v>33</v>
      </c>
      <c r="C15" s="20">
        <v>3</v>
      </c>
      <c r="D15" s="20">
        <v>3</v>
      </c>
      <c r="E15" s="20">
        <v>3</v>
      </c>
      <c r="F15" s="20">
        <v>3</v>
      </c>
    </row>
    <row r="16" spans="1:6" x14ac:dyDescent="0.3">
      <c r="A16" s="21" t="s">
        <v>34</v>
      </c>
      <c r="B16" s="21" t="s">
        <v>35</v>
      </c>
      <c r="C16" s="22">
        <v>3</v>
      </c>
      <c r="D16" s="22">
        <v>3</v>
      </c>
      <c r="E16" s="22">
        <v>3</v>
      </c>
      <c r="F16" s="22">
        <v>3</v>
      </c>
    </row>
    <row r="17" spans="1:11" x14ac:dyDescent="0.3">
      <c r="A17" s="19" t="s">
        <v>36</v>
      </c>
      <c r="B17" s="19" t="s">
        <v>37</v>
      </c>
      <c r="C17" s="20">
        <v>3</v>
      </c>
      <c r="D17" s="20">
        <v>4</v>
      </c>
      <c r="E17" s="20">
        <v>3</v>
      </c>
      <c r="F17" s="20">
        <v>3</v>
      </c>
    </row>
    <row r="18" spans="1:11" x14ac:dyDescent="0.3">
      <c r="A18" s="21" t="s">
        <v>38</v>
      </c>
      <c r="B18" s="21" t="s">
        <v>39</v>
      </c>
      <c r="C18" s="22">
        <v>4</v>
      </c>
      <c r="D18" s="22">
        <v>4</v>
      </c>
      <c r="E18" s="22">
        <v>4</v>
      </c>
      <c r="F18" s="22">
        <v>1</v>
      </c>
    </row>
    <row r="19" spans="1:11" x14ac:dyDescent="0.3">
      <c r="A19" s="19" t="s">
        <v>40</v>
      </c>
      <c r="B19" s="19" t="s">
        <v>41</v>
      </c>
      <c r="C19" s="20">
        <v>2</v>
      </c>
      <c r="D19" s="20">
        <v>2</v>
      </c>
      <c r="E19" s="20">
        <v>4</v>
      </c>
      <c r="F19" s="20">
        <v>3</v>
      </c>
    </row>
    <row r="20" spans="1:11" x14ac:dyDescent="0.3">
      <c r="A20" s="21" t="s">
        <v>42</v>
      </c>
      <c r="B20" s="21" t="s">
        <v>43</v>
      </c>
      <c r="C20" s="22">
        <v>3</v>
      </c>
      <c r="D20" s="22">
        <v>4</v>
      </c>
      <c r="E20" s="22">
        <v>4</v>
      </c>
      <c r="F20" s="22">
        <v>3</v>
      </c>
      <c r="I20" t="s">
        <v>99</v>
      </c>
    </row>
    <row r="21" spans="1:11" x14ac:dyDescent="0.3">
      <c r="A21" s="19" t="s">
        <v>44</v>
      </c>
      <c r="B21" s="19" t="s">
        <v>45</v>
      </c>
      <c r="C21" s="20">
        <v>4</v>
      </c>
      <c r="D21" s="20">
        <v>3</v>
      </c>
      <c r="E21" s="20">
        <v>3</v>
      </c>
      <c r="F21" s="20">
        <v>3</v>
      </c>
    </row>
    <row r="22" spans="1:11" x14ac:dyDescent="0.3">
      <c r="A22" s="21" t="s">
        <v>46</v>
      </c>
      <c r="B22" s="21" t="s">
        <v>47</v>
      </c>
      <c r="C22" s="22">
        <v>3</v>
      </c>
      <c r="D22" s="22">
        <v>3</v>
      </c>
      <c r="E22" s="22">
        <v>3</v>
      </c>
      <c r="F22" s="22">
        <v>3</v>
      </c>
    </row>
    <row r="23" spans="1:11" x14ac:dyDescent="0.3">
      <c r="A23" s="19" t="s">
        <v>48</v>
      </c>
      <c r="B23" s="19" t="s">
        <v>49</v>
      </c>
      <c r="C23" s="20">
        <v>3</v>
      </c>
      <c r="D23" s="20">
        <v>3</v>
      </c>
      <c r="E23" s="20">
        <v>3</v>
      </c>
      <c r="F23" s="20">
        <v>3</v>
      </c>
    </row>
    <row r="24" spans="1:11" x14ac:dyDescent="0.3">
      <c r="A24" s="21" t="s">
        <v>50</v>
      </c>
      <c r="B24" s="21" t="s">
        <v>51</v>
      </c>
      <c r="C24" s="22">
        <v>4</v>
      </c>
      <c r="D24" s="22">
        <v>2</v>
      </c>
      <c r="E24" s="22">
        <v>2</v>
      </c>
      <c r="F24" s="22">
        <v>2</v>
      </c>
    </row>
    <row r="25" spans="1:11" x14ac:dyDescent="0.3">
      <c r="A25" s="19" t="s">
        <v>52</v>
      </c>
      <c r="B25" s="19" t="s">
        <v>53</v>
      </c>
      <c r="C25" s="20">
        <v>2</v>
      </c>
      <c r="D25" s="20">
        <v>4</v>
      </c>
      <c r="E25" s="20">
        <v>1</v>
      </c>
      <c r="F25" s="20">
        <v>1</v>
      </c>
      <c r="K25" t="s">
        <v>99</v>
      </c>
    </row>
    <row r="26" spans="1:11" x14ac:dyDescent="0.3">
      <c r="A26" s="21" t="s">
        <v>54</v>
      </c>
      <c r="B26" s="21" t="s">
        <v>55</v>
      </c>
      <c r="C26" s="22">
        <v>2</v>
      </c>
      <c r="D26" s="22">
        <v>4</v>
      </c>
      <c r="E26" s="22">
        <v>2</v>
      </c>
      <c r="F26" s="22">
        <v>2</v>
      </c>
    </row>
    <row r="27" spans="1:11" x14ac:dyDescent="0.3">
      <c r="A27" s="19" t="s">
        <v>56</v>
      </c>
      <c r="B27" s="19" t="s">
        <v>57</v>
      </c>
      <c r="C27" s="20">
        <v>1</v>
      </c>
      <c r="D27" s="20">
        <v>2</v>
      </c>
      <c r="E27" s="20">
        <v>1</v>
      </c>
      <c r="F27" s="20">
        <v>2</v>
      </c>
    </row>
    <row r="28" spans="1:11" x14ac:dyDescent="0.3">
      <c r="A28" s="21" t="s">
        <v>58</v>
      </c>
      <c r="B28" s="21" t="s">
        <v>59</v>
      </c>
      <c r="C28" s="22">
        <v>1</v>
      </c>
      <c r="D28" s="22">
        <v>2</v>
      </c>
      <c r="E28" s="22">
        <v>1</v>
      </c>
      <c r="F28" s="22">
        <v>2</v>
      </c>
    </row>
    <row r="29" spans="1:11" x14ac:dyDescent="0.3">
      <c r="A29" s="19" t="s">
        <v>60</v>
      </c>
      <c r="B29" s="19" t="s">
        <v>61</v>
      </c>
      <c r="C29" s="20">
        <v>1</v>
      </c>
      <c r="D29" s="20">
        <v>4</v>
      </c>
      <c r="E29" s="20">
        <v>1</v>
      </c>
      <c r="F29" s="20">
        <v>4</v>
      </c>
    </row>
    <row r="30" spans="1:11" x14ac:dyDescent="0.3">
      <c r="A30" s="21" t="s">
        <v>62</v>
      </c>
      <c r="B30" s="21" t="s">
        <v>63</v>
      </c>
      <c r="C30" s="22">
        <v>1</v>
      </c>
      <c r="D30" s="22">
        <v>2</v>
      </c>
      <c r="E30" s="22">
        <v>1</v>
      </c>
      <c r="F30" s="22">
        <v>3</v>
      </c>
    </row>
    <row r="31" spans="1:11" x14ac:dyDescent="0.3">
      <c r="A31" s="19" t="s">
        <v>64</v>
      </c>
      <c r="B31" s="19" t="s">
        <v>65</v>
      </c>
      <c r="C31" s="20">
        <v>2</v>
      </c>
      <c r="D31" s="20">
        <v>2</v>
      </c>
      <c r="E31" s="20">
        <v>2</v>
      </c>
      <c r="F31" s="20">
        <v>2</v>
      </c>
    </row>
    <row r="32" spans="1:11" x14ac:dyDescent="0.3">
      <c r="A32" s="21" t="s">
        <v>66</v>
      </c>
      <c r="B32" s="21" t="s">
        <v>67</v>
      </c>
      <c r="C32" s="22">
        <v>1</v>
      </c>
      <c r="D32" s="22">
        <v>4</v>
      </c>
      <c r="E32" s="22">
        <v>5</v>
      </c>
      <c r="F32" s="22">
        <v>5</v>
      </c>
    </row>
    <row r="33" spans="1:11" x14ac:dyDescent="0.3">
      <c r="H33" t="s">
        <v>102</v>
      </c>
    </row>
    <row r="34" spans="1:11" x14ac:dyDescent="0.3">
      <c r="A34" s="34" t="s">
        <v>75</v>
      </c>
      <c r="B34" s="34"/>
      <c r="C34" s="34"/>
      <c r="D34" s="34"/>
      <c r="E34" s="34"/>
      <c r="F34" s="34"/>
    </row>
    <row r="35" spans="1:11" x14ac:dyDescent="0.3">
      <c r="A35" s="23" t="s">
        <v>76</v>
      </c>
      <c r="B35" s="24" t="s">
        <v>77</v>
      </c>
      <c r="C35" s="25">
        <f>SQRT(SUMSQ(C3:C32))</f>
        <v>15.231546211727817</v>
      </c>
      <c r="D35" s="25">
        <f>SQRT(SUMSQ(D3:D32))</f>
        <v>18.083141320025124</v>
      </c>
      <c r="E35" s="25">
        <f>SQRT(SUMSQ(E3:E32))</f>
        <v>18.083141320025124</v>
      </c>
      <c r="F35" s="25">
        <f>SQRT(SUMSQ(F3:F32))</f>
        <v>17.233687939614086</v>
      </c>
    </row>
    <row r="37" spans="1:11" x14ac:dyDescent="0.3">
      <c r="A37" s="33">
        <f>I42</f>
        <v>0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</row>
    <row r="38" spans="1:11" ht="52.8" x14ac:dyDescent="0.3">
      <c r="A38" s="18" t="s">
        <v>69</v>
      </c>
      <c r="B38" s="18" t="s">
        <v>70</v>
      </c>
      <c r="C38" s="18" t="s">
        <v>71</v>
      </c>
      <c r="D38" s="18" t="s">
        <v>72</v>
      </c>
      <c r="E38" s="18" t="s">
        <v>73</v>
      </c>
      <c r="F38" s="18" t="s">
        <v>74</v>
      </c>
    </row>
    <row r="39" spans="1:11" x14ac:dyDescent="0.3">
      <c r="A39" s="19" t="s">
        <v>8</v>
      </c>
      <c r="B39" s="19" t="s">
        <v>9</v>
      </c>
      <c r="C39" s="27">
        <f>C3/C$35</f>
        <v>0.19695964928958382</v>
      </c>
      <c r="D39" s="27">
        <f>D3/D$35</f>
        <v>0.16590037908279931</v>
      </c>
      <c r="E39" s="27">
        <f>E3/E$35</f>
        <v>0.16590037908279931</v>
      </c>
      <c r="F39" s="27">
        <f>F3/F$35</f>
        <v>0.17407765595569785</v>
      </c>
    </row>
    <row r="40" spans="1:11" x14ac:dyDescent="0.3">
      <c r="A40" s="21" t="s">
        <v>10</v>
      </c>
      <c r="B40" s="21" t="s">
        <v>11</v>
      </c>
      <c r="C40" s="27">
        <f t="shared" ref="C40:F68" si="0">C4/C$35</f>
        <v>0.13130643285972254</v>
      </c>
      <c r="D40" s="27">
        <f t="shared" si="0"/>
        <v>0.1106002527218662</v>
      </c>
      <c r="E40" s="27">
        <f t="shared" si="0"/>
        <v>0.16590037908279931</v>
      </c>
      <c r="F40" s="27">
        <f t="shared" si="0"/>
        <v>0.29012942659282975</v>
      </c>
    </row>
    <row r="41" spans="1:11" x14ac:dyDescent="0.3">
      <c r="A41" s="19" t="s">
        <v>12</v>
      </c>
      <c r="B41" s="19" t="s">
        <v>13</v>
      </c>
      <c r="C41" s="27">
        <f t="shared" si="0"/>
        <v>6.5653216429861272E-2</v>
      </c>
      <c r="D41" s="27">
        <f t="shared" si="0"/>
        <v>0.2212005054437324</v>
      </c>
      <c r="E41" s="27">
        <f t="shared" si="0"/>
        <v>0.2212005054437324</v>
      </c>
      <c r="F41" s="27">
        <f t="shared" si="0"/>
        <v>0.17407765595569785</v>
      </c>
    </row>
    <row r="42" spans="1:11" x14ac:dyDescent="0.3">
      <c r="A42" s="21" t="s">
        <v>14</v>
      </c>
      <c r="B42" s="21" t="s">
        <v>15</v>
      </c>
      <c r="C42" s="27">
        <f t="shared" si="0"/>
        <v>0.32826608214930636</v>
      </c>
      <c r="D42" s="27">
        <f t="shared" si="0"/>
        <v>0.1106002527218662</v>
      </c>
      <c r="E42" s="27">
        <f t="shared" si="0"/>
        <v>0.2765006318046655</v>
      </c>
      <c r="F42" s="27">
        <f t="shared" si="0"/>
        <v>0.29012942659282975</v>
      </c>
    </row>
    <row r="43" spans="1:11" x14ac:dyDescent="0.3">
      <c r="A43" s="19" t="s">
        <v>16</v>
      </c>
      <c r="B43" s="19" t="s">
        <v>17</v>
      </c>
      <c r="C43" s="27">
        <f t="shared" si="0"/>
        <v>0.26261286571944509</v>
      </c>
      <c r="D43" s="27">
        <f t="shared" si="0"/>
        <v>0.2212005054437324</v>
      </c>
      <c r="E43" s="27">
        <f t="shared" si="0"/>
        <v>0.2765006318046655</v>
      </c>
      <c r="F43" s="27">
        <f t="shared" si="0"/>
        <v>0.17407765595569785</v>
      </c>
    </row>
    <row r="44" spans="1:11" x14ac:dyDescent="0.3">
      <c r="A44" s="21" t="s">
        <v>18</v>
      </c>
      <c r="B44" s="21" t="s">
        <v>19</v>
      </c>
      <c r="C44" s="27">
        <f t="shared" si="0"/>
        <v>0.26261286571944509</v>
      </c>
      <c r="D44" s="27">
        <f t="shared" si="0"/>
        <v>0.2765006318046655</v>
      </c>
      <c r="E44" s="27">
        <f t="shared" si="0"/>
        <v>0.2765006318046655</v>
      </c>
      <c r="F44" s="27">
        <f t="shared" si="0"/>
        <v>0.23210354127426377</v>
      </c>
    </row>
    <row r="45" spans="1:11" x14ac:dyDescent="0.3">
      <c r="A45" s="19" t="s">
        <v>20</v>
      </c>
      <c r="B45" s="19" t="s">
        <v>21</v>
      </c>
      <c r="C45" s="27">
        <f t="shared" si="0"/>
        <v>0.19695964928958382</v>
      </c>
      <c r="D45" s="27">
        <f t="shared" si="0"/>
        <v>0.16590037908279931</v>
      </c>
      <c r="E45" s="27">
        <f t="shared" si="0"/>
        <v>0.16590037908279931</v>
      </c>
      <c r="F45" s="27">
        <f t="shared" si="0"/>
        <v>0.17407765595569785</v>
      </c>
    </row>
    <row r="46" spans="1:11" x14ac:dyDescent="0.3">
      <c r="A46" s="21" t="s">
        <v>22</v>
      </c>
      <c r="B46" s="21" t="s">
        <v>23</v>
      </c>
      <c r="C46" s="27">
        <f t="shared" si="0"/>
        <v>0.13130643285972254</v>
      </c>
      <c r="D46" s="27">
        <f t="shared" si="0"/>
        <v>0.16590037908279931</v>
      </c>
      <c r="E46" s="27">
        <f t="shared" si="0"/>
        <v>0.2212005054437324</v>
      </c>
      <c r="F46" s="27">
        <f t="shared" si="0"/>
        <v>0.11605177063713189</v>
      </c>
    </row>
    <row r="47" spans="1:11" x14ac:dyDescent="0.3">
      <c r="A47" s="19" t="s">
        <v>24</v>
      </c>
      <c r="B47" s="19" t="s">
        <v>25</v>
      </c>
      <c r="C47" s="27">
        <f t="shared" si="0"/>
        <v>0.13130643285972254</v>
      </c>
      <c r="D47" s="27">
        <f t="shared" si="0"/>
        <v>0.1106002527218662</v>
      </c>
      <c r="E47" s="27">
        <f t="shared" si="0"/>
        <v>0.2212005054437324</v>
      </c>
      <c r="F47" s="27">
        <f t="shared" si="0"/>
        <v>0.29012942659282975</v>
      </c>
    </row>
    <row r="48" spans="1:11" x14ac:dyDescent="0.3">
      <c r="A48" s="21" t="s">
        <v>26</v>
      </c>
      <c r="B48" s="21" t="s">
        <v>27</v>
      </c>
      <c r="C48" s="27">
        <f t="shared" si="0"/>
        <v>6.5653216429861272E-2</v>
      </c>
      <c r="D48" s="27">
        <f t="shared" si="0"/>
        <v>0.2212005054437324</v>
      </c>
      <c r="E48" s="27">
        <f t="shared" si="0"/>
        <v>5.5300126360933101E-2</v>
      </c>
      <c r="F48" s="27">
        <f t="shared" si="0"/>
        <v>0.11605177063713189</v>
      </c>
    </row>
    <row r="49" spans="1:6" x14ac:dyDescent="0.3">
      <c r="A49" s="19" t="s">
        <v>28</v>
      </c>
      <c r="B49" s="19" t="s">
        <v>29</v>
      </c>
      <c r="C49" s="27">
        <f t="shared" si="0"/>
        <v>0.13130643285972254</v>
      </c>
      <c r="D49" s="27">
        <f t="shared" si="0"/>
        <v>0.16590037908279931</v>
      </c>
      <c r="E49" s="27">
        <f t="shared" si="0"/>
        <v>0.2212005054437324</v>
      </c>
      <c r="F49" s="27">
        <f t="shared" si="0"/>
        <v>0.17407765595569785</v>
      </c>
    </row>
    <row r="50" spans="1:6" x14ac:dyDescent="0.3">
      <c r="A50" s="21" t="s">
        <v>30</v>
      </c>
      <c r="B50" s="21" t="s">
        <v>31</v>
      </c>
      <c r="C50" s="27">
        <f t="shared" si="0"/>
        <v>0.26261286571944509</v>
      </c>
      <c r="D50" s="27">
        <f t="shared" si="0"/>
        <v>0.2765006318046655</v>
      </c>
      <c r="E50" s="27">
        <f t="shared" si="0"/>
        <v>0.2212005054437324</v>
      </c>
      <c r="F50" s="27">
        <f t="shared" si="0"/>
        <v>0.17407765595569785</v>
      </c>
    </row>
    <row r="51" spans="1:6" x14ac:dyDescent="0.3">
      <c r="A51" s="19" t="s">
        <v>32</v>
      </c>
      <c r="B51" s="19" t="s">
        <v>33</v>
      </c>
      <c r="C51" s="27">
        <f t="shared" si="0"/>
        <v>0.19695964928958382</v>
      </c>
      <c r="D51" s="27">
        <f t="shared" si="0"/>
        <v>0.16590037908279931</v>
      </c>
      <c r="E51" s="27">
        <f t="shared" si="0"/>
        <v>0.16590037908279931</v>
      </c>
      <c r="F51" s="27">
        <f t="shared" si="0"/>
        <v>0.17407765595569785</v>
      </c>
    </row>
    <row r="52" spans="1:6" x14ac:dyDescent="0.3">
      <c r="A52" s="21" t="s">
        <v>34</v>
      </c>
      <c r="B52" s="21" t="s">
        <v>35</v>
      </c>
      <c r="C52" s="27">
        <f t="shared" si="0"/>
        <v>0.19695964928958382</v>
      </c>
      <c r="D52" s="27">
        <f t="shared" si="0"/>
        <v>0.16590037908279931</v>
      </c>
      <c r="E52" s="27">
        <f t="shared" si="0"/>
        <v>0.16590037908279931</v>
      </c>
      <c r="F52" s="27">
        <f t="shared" si="0"/>
        <v>0.17407765595569785</v>
      </c>
    </row>
    <row r="53" spans="1:6" x14ac:dyDescent="0.3">
      <c r="A53" s="19" t="s">
        <v>36</v>
      </c>
      <c r="B53" s="19" t="s">
        <v>37</v>
      </c>
      <c r="C53" s="27">
        <f t="shared" si="0"/>
        <v>0.19695964928958382</v>
      </c>
      <c r="D53" s="27">
        <f t="shared" si="0"/>
        <v>0.2212005054437324</v>
      </c>
      <c r="E53" s="27">
        <f t="shared" si="0"/>
        <v>0.16590037908279931</v>
      </c>
      <c r="F53" s="27">
        <f t="shared" si="0"/>
        <v>0.17407765595569785</v>
      </c>
    </row>
    <row r="54" spans="1:6" x14ac:dyDescent="0.3">
      <c r="A54" s="21" t="s">
        <v>38</v>
      </c>
      <c r="B54" s="21" t="s">
        <v>39</v>
      </c>
      <c r="C54" s="27">
        <f t="shared" si="0"/>
        <v>0.26261286571944509</v>
      </c>
      <c r="D54" s="27">
        <f t="shared" si="0"/>
        <v>0.2212005054437324</v>
      </c>
      <c r="E54" s="27">
        <f t="shared" si="0"/>
        <v>0.2212005054437324</v>
      </c>
      <c r="F54" s="27">
        <f t="shared" si="0"/>
        <v>5.8025885318565944E-2</v>
      </c>
    </row>
    <row r="55" spans="1:6" x14ac:dyDescent="0.3">
      <c r="A55" s="19" t="s">
        <v>40</v>
      </c>
      <c r="B55" s="19" t="s">
        <v>41</v>
      </c>
      <c r="C55" s="27">
        <f t="shared" si="0"/>
        <v>0.13130643285972254</v>
      </c>
      <c r="D55" s="27">
        <f t="shared" si="0"/>
        <v>0.1106002527218662</v>
      </c>
      <c r="E55" s="27">
        <f t="shared" si="0"/>
        <v>0.2212005054437324</v>
      </c>
      <c r="F55" s="27">
        <f t="shared" si="0"/>
        <v>0.17407765595569785</v>
      </c>
    </row>
    <row r="56" spans="1:6" x14ac:dyDescent="0.3">
      <c r="A56" s="21" t="s">
        <v>42</v>
      </c>
      <c r="B56" s="21" t="s">
        <v>43</v>
      </c>
      <c r="C56" s="27">
        <f t="shared" si="0"/>
        <v>0.19695964928958382</v>
      </c>
      <c r="D56" s="27">
        <f t="shared" si="0"/>
        <v>0.2212005054437324</v>
      </c>
      <c r="E56" s="27">
        <f t="shared" si="0"/>
        <v>0.2212005054437324</v>
      </c>
      <c r="F56" s="27">
        <f t="shared" si="0"/>
        <v>0.17407765595569785</v>
      </c>
    </row>
    <row r="57" spans="1:6" x14ac:dyDescent="0.3">
      <c r="A57" s="19" t="s">
        <v>44</v>
      </c>
      <c r="B57" s="19" t="s">
        <v>45</v>
      </c>
      <c r="C57" s="27">
        <f t="shared" si="0"/>
        <v>0.26261286571944509</v>
      </c>
      <c r="D57" s="27">
        <f t="shared" si="0"/>
        <v>0.16590037908279931</v>
      </c>
      <c r="E57" s="27">
        <f t="shared" si="0"/>
        <v>0.16590037908279931</v>
      </c>
      <c r="F57" s="27">
        <f t="shared" si="0"/>
        <v>0.17407765595569785</v>
      </c>
    </row>
    <row r="58" spans="1:6" x14ac:dyDescent="0.3">
      <c r="A58" s="21" t="s">
        <v>46</v>
      </c>
      <c r="B58" s="21" t="s">
        <v>47</v>
      </c>
      <c r="C58" s="27">
        <f t="shared" si="0"/>
        <v>0.19695964928958382</v>
      </c>
      <c r="D58" s="27">
        <f t="shared" si="0"/>
        <v>0.16590037908279931</v>
      </c>
      <c r="E58" s="27">
        <f t="shared" si="0"/>
        <v>0.16590037908279931</v>
      </c>
      <c r="F58" s="27">
        <f t="shared" si="0"/>
        <v>0.17407765595569785</v>
      </c>
    </row>
    <row r="59" spans="1:6" x14ac:dyDescent="0.3">
      <c r="A59" s="19" t="s">
        <v>48</v>
      </c>
      <c r="B59" s="19" t="s">
        <v>49</v>
      </c>
      <c r="C59" s="27">
        <f t="shared" si="0"/>
        <v>0.19695964928958382</v>
      </c>
      <c r="D59" s="27">
        <f t="shared" si="0"/>
        <v>0.16590037908279931</v>
      </c>
      <c r="E59" s="27">
        <f t="shared" si="0"/>
        <v>0.16590037908279931</v>
      </c>
      <c r="F59" s="27">
        <f t="shared" si="0"/>
        <v>0.17407765595569785</v>
      </c>
    </row>
    <row r="60" spans="1:6" x14ac:dyDescent="0.3">
      <c r="A60" s="21" t="s">
        <v>50</v>
      </c>
      <c r="B60" s="21" t="s">
        <v>51</v>
      </c>
      <c r="C60" s="27">
        <f t="shared" si="0"/>
        <v>0.26261286571944509</v>
      </c>
      <c r="D60" s="27">
        <f t="shared" si="0"/>
        <v>0.1106002527218662</v>
      </c>
      <c r="E60" s="27">
        <f t="shared" si="0"/>
        <v>0.1106002527218662</v>
      </c>
      <c r="F60" s="27">
        <f t="shared" si="0"/>
        <v>0.11605177063713189</v>
      </c>
    </row>
    <row r="61" spans="1:6" x14ac:dyDescent="0.3">
      <c r="A61" s="19" t="s">
        <v>52</v>
      </c>
      <c r="B61" s="19" t="s">
        <v>53</v>
      </c>
      <c r="C61" s="27">
        <f t="shared" si="0"/>
        <v>0.13130643285972254</v>
      </c>
      <c r="D61" s="27">
        <f t="shared" si="0"/>
        <v>0.2212005054437324</v>
      </c>
      <c r="E61" s="27">
        <f t="shared" si="0"/>
        <v>5.5300126360933101E-2</v>
      </c>
      <c r="F61" s="27">
        <f t="shared" si="0"/>
        <v>5.8025885318565944E-2</v>
      </c>
    </row>
    <row r="62" spans="1:6" x14ac:dyDescent="0.3">
      <c r="A62" s="21" t="s">
        <v>54</v>
      </c>
      <c r="B62" s="21" t="s">
        <v>55</v>
      </c>
      <c r="C62" s="27">
        <f t="shared" si="0"/>
        <v>0.13130643285972254</v>
      </c>
      <c r="D62" s="27">
        <f t="shared" si="0"/>
        <v>0.2212005054437324</v>
      </c>
      <c r="E62" s="27">
        <f t="shared" si="0"/>
        <v>0.1106002527218662</v>
      </c>
      <c r="F62" s="27">
        <f t="shared" si="0"/>
        <v>0.11605177063713189</v>
      </c>
    </row>
    <row r="63" spans="1:6" x14ac:dyDescent="0.3">
      <c r="A63" s="19" t="s">
        <v>56</v>
      </c>
      <c r="B63" s="19" t="s">
        <v>57</v>
      </c>
      <c r="C63" s="27">
        <f t="shared" si="0"/>
        <v>6.5653216429861272E-2</v>
      </c>
      <c r="D63" s="27">
        <f t="shared" si="0"/>
        <v>0.1106002527218662</v>
      </c>
      <c r="E63" s="27">
        <f t="shared" si="0"/>
        <v>5.5300126360933101E-2</v>
      </c>
      <c r="F63" s="27">
        <f t="shared" si="0"/>
        <v>0.11605177063713189</v>
      </c>
    </row>
    <row r="64" spans="1:6" x14ac:dyDescent="0.3">
      <c r="A64" s="21" t="s">
        <v>58</v>
      </c>
      <c r="B64" s="21" t="s">
        <v>59</v>
      </c>
      <c r="C64" s="27">
        <f t="shared" si="0"/>
        <v>6.5653216429861272E-2</v>
      </c>
      <c r="D64" s="27">
        <f t="shared" si="0"/>
        <v>0.1106002527218662</v>
      </c>
      <c r="E64" s="27">
        <f t="shared" si="0"/>
        <v>5.5300126360933101E-2</v>
      </c>
      <c r="F64" s="27">
        <f t="shared" si="0"/>
        <v>0.11605177063713189</v>
      </c>
    </row>
    <row r="65" spans="1:16" x14ac:dyDescent="0.3">
      <c r="A65" s="19" t="s">
        <v>60</v>
      </c>
      <c r="B65" s="19" t="s">
        <v>61</v>
      </c>
      <c r="C65" s="27">
        <f t="shared" si="0"/>
        <v>6.5653216429861272E-2</v>
      </c>
      <c r="D65" s="27">
        <f t="shared" si="0"/>
        <v>0.2212005054437324</v>
      </c>
      <c r="E65" s="27">
        <f t="shared" si="0"/>
        <v>5.5300126360933101E-2</v>
      </c>
      <c r="F65" s="27">
        <f t="shared" si="0"/>
        <v>0.23210354127426377</v>
      </c>
    </row>
    <row r="66" spans="1:16" x14ac:dyDescent="0.3">
      <c r="A66" s="21" t="s">
        <v>62</v>
      </c>
      <c r="B66" s="21" t="s">
        <v>63</v>
      </c>
      <c r="C66" s="27">
        <f t="shared" si="0"/>
        <v>6.5653216429861272E-2</v>
      </c>
      <c r="D66" s="27">
        <f t="shared" si="0"/>
        <v>0.1106002527218662</v>
      </c>
      <c r="E66" s="27">
        <f t="shared" si="0"/>
        <v>5.5300126360933101E-2</v>
      </c>
      <c r="F66" s="27">
        <f t="shared" si="0"/>
        <v>0.17407765595569785</v>
      </c>
    </row>
    <row r="67" spans="1:16" x14ac:dyDescent="0.3">
      <c r="A67" s="19" t="s">
        <v>64</v>
      </c>
      <c r="B67" s="19" t="s">
        <v>65</v>
      </c>
      <c r="C67" s="27">
        <f t="shared" si="0"/>
        <v>0.13130643285972254</v>
      </c>
      <c r="D67" s="27">
        <f t="shared" si="0"/>
        <v>0.1106002527218662</v>
      </c>
      <c r="E67" s="27">
        <f t="shared" si="0"/>
        <v>0.1106002527218662</v>
      </c>
      <c r="F67" s="27">
        <f t="shared" si="0"/>
        <v>0.11605177063713189</v>
      </c>
    </row>
    <row r="68" spans="1:16" x14ac:dyDescent="0.3">
      <c r="A68" s="21" t="s">
        <v>66</v>
      </c>
      <c r="B68" s="21" t="s">
        <v>67</v>
      </c>
      <c r="C68" s="27">
        <f t="shared" si="0"/>
        <v>6.5653216429861272E-2</v>
      </c>
      <c r="D68" s="27">
        <f t="shared" si="0"/>
        <v>0.2212005054437324</v>
      </c>
      <c r="E68" s="27">
        <f t="shared" si="0"/>
        <v>0.2765006318046655</v>
      </c>
      <c r="F68" s="27">
        <f t="shared" si="0"/>
        <v>0.29012942659282975</v>
      </c>
    </row>
    <row r="70" spans="1:16" x14ac:dyDescent="0.3">
      <c r="A70" s="33" t="s">
        <v>78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</row>
    <row r="71" spans="1:16" ht="39.6" x14ac:dyDescent="0.3">
      <c r="A71" s="18" t="s">
        <v>69</v>
      </c>
      <c r="B71" s="18" t="s">
        <v>70</v>
      </c>
      <c r="C71" s="18" t="s">
        <v>79</v>
      </c>
      <c r="D71" s="18" t="s">
        <v>80</v>
      </c>
      <c r="E71" s="18" t="s">
        <v>81</v>
      </c>
      <c r="F71" s="18" t="s">
        <v>82</v>
      </c>
    </row>
    <row r="72" spans="1:16" x14ac:dyDescent="0.3">
      <c r="A72" s="19" t="s">
        <v>8</v>
      </c>
      <c r="B72" s="19" t="s">
        <v>9</v>
      </c>
      <c r="C72" s="27">
        <f>C39*0.35</f>
        <v>6.8935877251354333E-2</v>
      </c>
      <c r="D72" s="27">
        <f>$D39*0.25</f>
        <v>4.1475094770699827E-2</v>
      </c>
      <c r="E72" s="27">
        <f>$E39*0.15</f>
        <v>2.4885056862419895E-2</v>
      </c>
      <c r="F72" s="27">
        <f>$F39*0.25</f>
        <v>4.3519413988924463E-2</v>
      </c>
    </row>
    <row r="73" spans="1:16" x14ac:dyDescent="0.3">
      <c r="A73" s="21" t="s">
        <v>10</v>
      </c>
      <c r="B73" s="21" t="s">
        <v>11</v>
      </c>
      <c r="C73" s="27">
        <f t="shared" ref="C73:C101" si="1">$C40*0.35</f>
        <v>4.5957251500902886E-2</v>
      </c>
      <c r="D73" s="27">
        <f t="shared" ref="D73:D101" si="2">$D40*0.25</f>
        <v>2.765006318046655E-2</v>
      </c>
      <c r="E73" s="27">
        <f t="shared" ref="E73:E101" si="3">$E40*0.15</f>
        <v>2.4885056862419895E-2</v>
      </c>
      <c r="F73" s="27">
        <f t="shared" ref="F73:F101" si="4">$F40*0.25</f>
        <v>7.2532356648207438E-2</v>
      </c>
    </row>
    <row r="74" spans="1:16" x14ac:dyDescent="0.3">
      <c r="A74" s="19" t="s">
        <v>12</v>
      </c>
      <c r="B74" s="19" t="s">
        <v>13</v>
      </c>
      <c r="C74" s="27">
        <f t="shared" si="1"/>
        <v>2.2978625750451443E-2</v>
      </c>
      <c r="D74" s="27">
        <f t="shared" si="2"/>
        <v>5.5300126360933101E-2</v>
      </c>
      <c r="E74" s="27">
        <f t="shared" si="3"/>
        <v>3.3180075816559858E-2</v>
      </c>
      <c r="F74" s="27">
        <f t="shared" si="4"/>
        <v>4.3519413988924463E-2</v>
      </c>
    </row>
    <row r="75" spans="1:16" x14ac:dyDescent="0.3">
      <c r="A75" s="21" t="s">
        <v>14</v>
      </c>
      <c r="B75" s="21" t="s">
        <v>15</v>
      </c>
      <c r="C75" s="27">
        <f t="shared" si="1"/>
        <v>0.11489312875225721</v>
      </c>
      <c r="D75" s="27">
        <f t="shared" si="2"/>
        <v>2.765006318046655E-2</v>
      </c>
      <c r="E75" s="27">
        <f t="shared" si="3"/>
        <v>4.147509477069982E-2</v>
      </c>
      <c r="F75" s="27">
        <f t="shared" si="4"/>
        <v>7.2532356648207438E-2</v>
      </c>
    </row>
    <row r="76" spans="1:16" x14ac:dyDescent="0.3">
      <c r="A76" s="19" t="s">
        <v>16</v>
      </c>
      <c r="B76" s="19" t="s">
        <v>17</v>
      </c>
      <c r="C76" s="27">
        <f t="shared" si="1"/>
        <v>9.1914503001805772E-2</v>
      </c>
      <c r="D76" s="27">
        <f t="shared" si="2"/>
        <v>5.5300126360933101E-2</v>
      </c>
      <c r="E76" s="27">
        <f t="shared" si="3"/>
        <v>4.147509477069982E-2</v>
      </c>
      <c r="F76" s="27">
        <f t="shared" si="4"/>
        <v>4.3519413988924463E-2</v>
      </c>
      <c r="J76" t="s">
        <v>99</v>
      </c>
    </row>
    <row r="77" spans="1:16" x14ac:dyDescent="0.3">
      <c r="A77" s="21" t="s">
        <v>18</v>
      </c>
      <c r="B77" s="21" t="s">
        <v>19</v>
      </c>
      <c r="C77" s="27">
        <f t="shared" si="1"/>
        <v>9.1914503001805772E-2</v>
      </c>
      <c r="D77" s="27">
        <f t="shared" si="2"/>
        <v>6.9125157951166374E-2</v>
      </c>
      <c r="E77" s="27">
        <f t="shared" si="3"/>
        <v>4.147509477069982E-2</v>
      </c>
      <c r="F77" s="27">
        <f t="shared" si="4"/>
        <v>5.8025885318565944E-2</v>
      </c>
    </row>
    <row r="78" spans="1:16" x14ac:dyDescent="0.3">
      <c r="A78" s="19" t="s">
        <v>20</v>
      </c>
      <c r="B78" s="19" t="s">
        <v>21</v>
      </c>
      <c r="C78" s="27">
        <f t="shared" si="1"/>
        <v>6.8935877251354333E-2</v>
      </c>
      <c r="D78" s="27">
        <f t="shared" si="2"/>
        <v>4.1475094770699827E-2</v>
      </c>
      <c r="E78" s="27">
        <f t="shared" si="3"/>
        <v>2.4885056862419895E-2</v>
      </c>
      <c r="F78" s="27">
        <f t="shared" si="4"/>
        <v>4.3519413988924463E-2</v>
      </c>
    </row>
    <row r="79" spans="1:16" x14ac:dyDescent="0.3">
      <c r="A79" s="21" t="s">
        <v>22</v>
      </c>
      <c r="B79" s="21" t="s">
        <v>23</v>
      </c>
      <c r="C79" s="27">
        <f t="shared" si="1"/>
        <v>4.5957251500902886E-2</v>
      </c>
      <c r="D79" s="27">
        <f t="shared" si="2"/>
        <v>4.1475094770699827E-2</v>
      </c>
      <c r="E79" s="27">
        <f t="shared" si="3"/>
        <v>3.3180075816559858E-2</v>
      </c>
      <c r="F79" s="27">
        <f t="shared" si="4"/>
        <v>2.9012942659282972E-2</v>
      </c>
    </row>
    <row r="80" spans="1:16" x14ac:dyDescent="0.3">
      <c r="A80" s="19" t="s">
        <v>24</v>
      </c>
      <c r="B80" s="19" t="s">
        <v>25</v>
      </c>
      <c r="C80" s="27">
        <f t="shared" si="1"/>
        <v>4.5957251500902886E-2</v>
      </c>
      <c r="D80" s="27">
        <f t="shared" si="2"/>
        <v>2.765006318046655E-2</v>
      </c>
      <c r="E80" s="27">
        <f t="shared" si="3"/>
        <v>3.3180075816559858E-2</v>
      </c>
      <c r="F80" s="27">
        <f t="shared" si="4"/>
        <v>7.2532356648207438E-2</v>
      </c>
    </row>
    <row r="81" spans="1:10" x14ac:dyDescent="0.3">
      <c r="A81" s="21" t="s">
        <v>26</v>
      </c>
      <c r="B81" s="21" t="s">
        <v>27</v>
      </c>
      <c r="C81" s="27">
        <f t="shared" si="1"/>
        <v>2.2978625750451443E-2</v>
      </c>
      <c r="D81" s="27">
        <f t="shared" si="2"/>
        <v>5.5300126360933101E-2</v>
      </c>
      <c r="E81" s="27">
        <f t="shared" si="3"/>
        <v>8.2950189541399644E-3</v>
      </c>
      <c r="F81" s="27">
        <f t="shared" si="4"/>
        <v>2.9012942659282972E-2</v>
      </c>
    </row>
    <row r="82" spans="1:10" x14ac:dyDescent="0.3">
      <c r="A82" s="19" t="s">
        <v>28</v>
      </c>
      <c r="B82" s="19" t="s">
        <v>29</v>
      </c>
      <c r="C82" s="27">
        <f t="shared" si="1"/>
        <v>4.5957251500902886E-2</v>
      </c>
      <c r="D82" s="27">
        <f t="shared" si="2"/>
        <v>4.1475094770699827E-2</v>
      </c>
      <c r="E82" s="27">
        <f t="shared" si="3"/>
        <v>3.3180075816559858E-2</v>
      </c>
      <c r="F82" s="27">
        <f t="shared" si="4"/>
        <v>4.3519413988924463E-2</v>
      </c>
    </row>
    <row r="83" spans="1:10" x14ac:dyDescent="0.3">
      <c r="A83" s="21" t="s">
        <v>30</v>
      </c>
      <c r="B83" s="21" t="s">
        <v>31</v>
      </c>
      <c r="C83" s="27">
        <f t="shared" si="1"/>
        <v>9.1914503001805772E-2</v>
      </c>
      <c r="D83" s="27">
        <f t="shared" si="2"/>
        <v>6.9125157951166374E-2</v>
      </c>
      <c r="E83" s="27">
        <f t="shared" si="3"/>
        <v>3.3180075816559858E-2</v>
      </c>
      <c r="F83" s="27">
        <f t="shared" si="4"/>
        <v>4.3519413988924463E-2</v>
      </c>
    </row>
    <row r="84" spans="1:10" x14ac:dyDescent="0.3">
      <c r="A84" s="19" t="s">
        <v>32</v>
      </c>
      <c r="B84" s="19" t="s">
        <v>33</v>
      </c>
      <c r="C84" s="27">
        <f t="shared" si="1"/>
        <v>6.8935877251354333E-2</v>
      </c>
      <c r="D84" s="27">
        <f t="shared" si="2"/>
        <v>4.1475094770699827E-2</v>
      </c>
      <c r="E84" s="27">
        <f t="shared" si="3"/>
        <v>2.4885056862419895E-2</v>
      </c>
      <c r="F84" s="27">
        <f t="shared" si="4"/>
        <v>4.3519413988924463E-2</v>
      </c>
    </row>
    <row r="85" spans="1:10" x14ac:dyDescent="0.3">
      <c r="A85" s="21" t="s">
        <v>34</v>
      </c>
      <c r="B85" s="21" t="s">
        <v>35</v>
      </c>
      <c r="C85" s="27">
        <f t="shared" si="1"/>
        <v>6.8935877251354333E-2</v>
      </c>
      <c r="D85" s="27">
        <f t="shared" si="2"/>
        <v>4.1475094770699827E-2</v>
      </c>
      <c r="E85" s="27">
        <f t="shared" si="3"/>
        <v>2.4885056862419895E-2</v>
      </c>
      <c r="F85" s="27">
        <f t="shared" si="4"/>
        <v>4.3519413988924463E-2</v>
      </c>
    </row>
    <row r="86" spans="1:10" x14ac:dyDescent="0.3">
      <c r="A86" s="19" t="s">
        <v>36</v>
      </c>
      <c r="B86" s="19" t="s">
        <v>37</v>
      </c>
      <c r="C86" s="27">
        <f t="shared" si="1"/>
        <v>6.8935877251354333E-2</v>
      </c>
      <c r="D86" s="27">
        <f t="shared" si="2"/>
        <v>5.5300126360933101E-2</v>
      </c>
      <c r="E86" s="27">
        <f t="shared" si="3"/>
        <v>2.4885056862419895E-2</v>
      </c>
      <c r="F86" s="27">
        <f t="shared" si="4"/>
        <v>4.3519413988924463E-2</v>
      </c>
    </row>
    <row r="87" spans="1:10" x14ac:dyDescent="0.3">
      <c r="A87" s="21" t="s">
        <v>38</v>
      </c>
      <c r="B87" s="21" t="s">
        <v>39</v>
      </c>
      <c r="C87" s="27">
        <f t="shared" si="1"/>
        <v>9.1914503001805772E-2</v>
      </c>
      <c r="D87" s="27">
        <f t="shared" si="2"/>
        <v>5.5300126360933101E-2</v>
      </c>
      <c r="E87" s="27">
        <f t="shared" si="3"/>
        <v>3.3180075816559858E-2</v>
      </c>
      <c r="F87" s="27">
        <f t="shared" si="4"/>
        <v>1.4506471329641486E-2</v>
      </c>
    </row>
    <row r="88" spans="1:10" x14ac:dyDescent="0.3">
      <c r="A88" s="19" t="s">
        <v>40</v>
      </c>
      <c r="B88" s="19" t="s">
        <v>41</v>
      </c>
      <c r="C88" s="27">
        <f t="shared" si="1"/>
        <v>4.5957251500902886E-2</v>
      </c>
      <c r="D88" s="27">
        <f t="shared" si="2"/>
        <v>2.765006318046655E-2</v>
      </c>
      <c r="E88" s="27">
        <f t="shared" si="3"/>
        <v>3.3180075816559858E-2</v>
      </c>
      <c r="F88" s="27">
        <f t="shared" si="4"/>
        <v>4.3519413988924463E-2</v>
      </c>
    </row>
    <row r="89" spans="1:10" x14ac:dyDescent="0.3">
      <c r="A89" s="21" t="s">
        <v>42</v>
      </c>
      <c r="B89" s="21" t="s">
        <v>43</v>
      </c>
      <c r="C89" s="27">
        <f t="shared" si="1"/>
        <v>6.8935877251354333E-2</v>
      </c>
      <c r="D89" s="27">
        <f t="shared" si="2"/>
        <v>5.5300126360933101E-2</v>
      </c>
      <c r="E89" s="27">
        <f t="shared" si="3"/>
        <v>3.3180075816559858E-2</v>
      </c>
      <c r="F89" s="27">
        <f t="shared" si="4"/>
        <v>4.3519413988924463E-2</v>
      </c>
    </row>
    <row r="90" spans="1:10" x14ac:dyDescent="0.3">
      <c r="A90" s="19" t="s">
        <v>44</v>
      </c>
      <c r="B90" s="19" t="s">
        <v>45</v>
      </c>
      <c r="C90" s="27">
        <f t="shared" si="1"/>
        <v>9.1914503001805772E-2</v>
      </c>
      <c r="D90" s="27">
        <f t="shared" si="2"/>
        <v>4.1475094770699827E-2</v>
      </c>
      <c r="E90" s="27">
        <f t="shared" si="3"/>
        <v>2.4885056862419895E-2</v>
      </c>
      <c r="F90" s="27">
        <f t="shared" si="4"/>
        <v>4.3519413988924463E-2</v>
      </c>
    </row>
    <row r="91" spans="1:10" x14ac:dyDescent="0.3">
      <c r="A91" s="21" t="s">
        <v>46</v>
      </c>
      <c r="B91" s="21" t="s">
        <v>47</v>
      </c>
      <c r="C91" s="27">
        <f t="shared" si="1"/>
        <v>6.8935877251354333E-2</v>
      </c>
      <c r="D91" s="27">
        <f t="shared" si="2"/>
        <v>4.1475094770699827E-2</v>
      </c>
      <c r="E91" s="27">
        <f t="shared" si="3"/>
        <v>2.4885056862419895E-2</v>
      </c>
      <c r="F91" s="27">
        <f t="shared" si="4"/>
        <v>4.3519413988924463E-2</v>
      </c>
    </row>
    <row r="92" spans="1:10" x14ac:dyDescent="0.3">
      <c r="A92" s="19" t="s">
        <v>48</v>
      </c>
      <c r="B92" s="19" t="s">
        <v>49</v>
      </c>
      <c r="C92" s="27">
        <f t="shared" si="1"/>
        <v>6.8935877251354333E-2</v>
      </c>
      <c r="D92" s="27">
        <f t="shared" si="2"/>
        <v>4.1475094770699827E-2</v>
      </c>
      <c r="E92" s="27">
        <f t="shared" si="3"/>
        <v>2.4885056862419895E-2</v>
      </c>
      <c r="F92" s="27">
        <f t="shared" si="4"/>
        <v>4.3519413988924463E-2</v>
      </c>
    </row>
    <row r="93" spans="1:10" x14ac:dyDescent="0.3">
      <c r="A93" s="21" t="s">
        <v>50</v>
      </c>
      <c r="B93" s="21" t="s">
        <v>51</v>
      </c>
      <c r="C93" s="27">
        <f t="shared" si="1"/>
        <v>9.1914503001805772E-2</v>
      </c>
      <c r="D93" s="27">
        <f t="shared" si="2"/>
        <v>2.765006318046655E-2</v>
      </c>
      <c r="E93" s="27">
        <f t="shared" si="3"/>
        <v>1.6590037908279929E-2</v>
      </c>
      <c r="F93" s="27">
        <f t="shared" si="4"/>
        <v>2.9012942659282972E-2</v>
      </c>
    </row>
    <row r="94" spans="1:10" x14ac:dyDescent="0.3">
      <c r="A94" s="19" t="s">
        <v>52</v>
      </c>
      <c r="B94" s="19" t="s">
        <v>53</v>
      </c>
      <c r="C94" s="27">
        <f t="shared" si="1"/>
        <v>4.5957251500902886E-2</v>
      </c>
      <c r="D94" s="27">
        <f t="shared" si="2"/>
        <v>5.5300126360933101E-2</v>
      </c>
      <c r="E94" s="27">
        <f t="shared" si="3"/>
        <v>8.2950189541399644E-3</v>
      </c>
      <c r="F94" s="27">
        <f t="shared" si="4"/>
        <v>1.4506471329641486E-2</v>
      </c>
    </row>
    <row r="95" spans="1:10" x14ac:dyDescent="0.3">
      <c r="A95" s="21" t="s">
        <v>54</v>
      </c>
      <c r="B95" s="21" t="s">
        <v>55</v>
      </c>
      <c r="C95" s="27">
        <f t="shared" si="1"/>
        <v>4.5957251500902886E-2</v>
      </c>
      <c r="D95" s="27">
        <f t="shared" si="2"/>
        <v>5.5300126360933101E-2</v>
      </c>
      <c r="E95" s="27">
        <f t="shared" si="3"/>
        <v>1.6590037908279929E-2</v>
      </c>
      <c r="F95" s="27">
        <f t="shared" si="4"/>
        <v>2.9012942659282972E-2</v>
      </c>
    </row>
    <row r="96" spans="1:10" x14ac:dyDescent="0.3">
      <c r="A96" s="19" t="s">
        <v>56</v>
      </c>
      <c r="B96" s="19" t="s">
        <v>57</v>
      </c>
      <c r="C96" s="27">
        <f t="shared" si="1"/>
        <v>2.2978625750451443E-2</v>
      </c>
      <c r="D96" s="27">
        <f t="shared" si="2"/>
        <v>2.765006318046655E-2</v>
      </c>
      <c r="E96" s="27">
        <f t="shared" si="3"/>
        <v>8.2950189541399644E-3</v>
      </c>
      <c r="F96" s="27">
        <f t="shared" si="4"/>
        <v>2.9012942659282972E-2</v>
      </c>
      <c r="J96" t="s">
        <v>99</v>
      </c>
    </row>
    <row r="97" spans="1:21" x14ac:dyDescent="0.3">
      <c r="A97" s="21" t="s">
        <v>58</v>
      </c>
      <c r="B97" s="21" t="s">
        <v>59</v>
      </c>
      <c r="C97" s="27">
        <f t="shared" si="1"/>
        <v>2.2978625750451443E-2</v>
      </c>
      <c r="D97" s="27">
        <f t="shared" si="2"/>
        <v>2.765006318046655E-2</v>
      </c>
      <c r="E97" s="27">
        <f t="shared" si="3"/>
        <v>8.2950189541399644E-3</v>
      </c>
      <c r="F97" s="27">
        <f t="shared" si="4"/>
        <v>2.9012942659282972E-2</v>
      </c>
    </row>
    <row r="98" spans="1:21" x14ac:dyDescent="0.3">
      <c r="A98" s="19" t="s">
        <v>60</v>
      </c>
      <c r="B98" s="19" t="s">
        <v>61</v>
      </c>
      <c r="C98" s="27">
        <f t="shared" si="1"/>
        <v>2.2978625750451443E-2</v>
      </c>
      <c r="D98" s="27">
        <f t="shared" si="2"/>
        <v>5.5300126360933101E-2</v>
      </c>
      <c r="E98" s="27">
        <f t="shared" si="3"/>
        <v>8.2950189541399644E-3</v>
      </c>
      <c r="F98" s="27">
        <f t="shared" si="4"/>
        <v>5.8025885318565944E-2</v>
      </c>
    </row>
    <row r="99" spans="1:21" x14ac:dyDescent="0.3">
      <c r="A99" s="21" t="s">
        <v>62</v>
      </c>
      <c r="B99" s="21" t="s">
        <v>63</v>
      </c>
      <c r="C99" s="27">
        <f t="shared" si="1"/>
        <v>2.2978625750451443E-2</v>
      </c>
      <c r="D99" s="27">
        <f t="shared" si="2"/>
        <v>2.765006318046655E-2</v>
      </c>
      <c r="E99" s="27">
        <f t="shared" si="3"/>
        <v>8.2950189541399644E-3</v>
      </c>
      <c r="F99" s="27">
        <f t="shared" si="4"/>
        <v>4.3519413988924463E-2</v>
      </c>
    </row>
    <row r="100" spans="1:21" x14ac:dyDescent="0.3">
      <c r="A100" s="19" t="s">
        <v>64</v>
      </c>
      <c r="B100" s="19" t="s">
        <v>65</v>
      </c>
      <c r="C100" s="27">
        <f t="shared" si="1"/>
        <v>4.5957251500902886E-2</v>
      </c>
      <c r="D100" s="27">
        <f t="shared" si="2"/>
        <v>2.765006318046655E-2</v>
      </c>
      <c r="E100" s="27">
        <f t="shared" si="3"/>
        <v>1.6590037908279929E-2</v>
      </c>
      <c r="F100" s="27">
        <f t="shared" si="4"/>
        <v>2.9012942659282972E-2</v>
      </c>
    </row>
    <row r="101" spans="1:21" x14ac:dyDescent="0.3">
      <c r="A101" s="21" t="s">
        <v>66</v>
      </c>
      <c r="B101" s="21" t="s">
        <v>67</v>
      </c>
      <c r="C101" s="27">
        <f t="shared" si="1"/>
        <v>2.2978625750451443E-2</v>
      </c>
      <c r="D101" s="27">
        <f t="shared" si="2"/>
        <v>5.5300126360933101E-2</v>
      </c>
      <c r="E101" s="27">
        <f t="shared" si="3"/>
        <v>4.147509477069982E-2</v>
      </c>
      <c r="F101" s="27">
        <f t="shared" si="4"/>
        <v>7.2532356648207438E-2</v>
      </c>
    </row>
    <row r="103" spans="1:21" x14ac:dyDescent="0.3">
      <c r="A103" s="33" t="s">
        <v>83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</row>
    <row r="104" spans="1:21" x14ac:dyDescent="0.3">
      <c r="A104" s="18" t="s">
        <v>84</v>
      </c>
      <c r="B104" s="18" t="s">
        <v>85</v>
      </c>
      <c r="C104" s="18" t="s">
        <v>90</v>
      </c>
      <c r="D104" s="18" t="s">
        <v>91</v>
      </c>
      <c r="E104" s="18" t="s">
        <v>92</v>
      </c>
      <c r="F104" s="18" t="s">
        <v>93</v>
      </c>
    </row>
    <row r="105" spans="1:21" x14ac:dyDescent="0.3">
      <c r="A105" s="28" t="s">
        <v>86</v>
      </c>
      <c r="B105" s="29" t="s">
        <v>87</v>
      </c>
      <c r="C105" s="26">
        <f>MAX(C72:C101)</f>
        <v>0.11489312875225721</v>
      </c>
      <c r="D105" s="26">
        <f>MIN(D72:D101)</f>
        <v>2.765006318046655E-2</v>
      </c>
      <c r="E105" s="26">
        <f>MIN(E72:E101)</f>
        <v>8.2950189541399644E-3</v>
      </c>
      <c r="F105" s="26">
        <f>MAX(F72:F101)</f>
        <v>7.2532356648207438E-2</v>
      </c>
    </row>
    <row r="106" spans="1:21" x14ac:dyDescent="0.3">
      <c r="A106" s="30" t="s">
        <v>88</v>
      </c>
      <c r="B106" s="31" t="s">
        <v>89</v>
      </c>
      <c r="C106" s="26">
        <f>MIN(C72:C101)</f>
        <v>2.2978625750451443E-2</v>
      </c>
      <c r="D106" s="26">
        <f>MAX(D73:D102)</f>
        <v>6.9125157951166374E-2</v>
      </c>
      <c r="E106" s="26">
        <f>MAX(E73:E102)</f>
        <v>4.147509477069982E-2</v>
      </c>
      <c r="F106" s="26">
        <f>MIN(F73:F102)</f>
        <v>1.4506471329641486E-2</v>
      </c>
    </row>
    <row r="108" spans="1:21" x14ac:dyDescent="0.3">
      <c r="A108" s="33" t="s">
        <v>94</v>
      </c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</row>
    <row r="109" spans="1:21" ht="26.4" x14ac:dyDescent="0.3">
      <c r="A109" s="18" t="s">
        <v>69</v>
      </c>
      <c r="B109" s="18" t="s">
        <v>70</v>
      </c>
      <c r="C109" s="18" t="s">
        <v>95</v>
      </c>
      <c r="D109" s="18" t="s">
        <v>96</v>
      </c>
      <c r="E109" s="18" t="s">
        <v>100</v>
      </c>
      <c r="F109" s="18" t="s">
        <v>97</v>
      </c>
      <c r="G109" s="18" t="s">
        <v>98</v>
      </c>
    </row>
    <row r="110" spans="1:21" x14ac:dyDescent="0.3">
      <c r="A110" s="19" t="s">
        <v>8</v>
      </c>
      <c r="B110" s="19" t="s">
        <v>9</v>
      </c>
      <c r="C110" s="27">
        <f>SQRT((C72-$C$105)^2+(D72-$D$105)^2+(E72-$E$105)^2+(F72-$F$105)^2)</f>
        <v>5.8482310689106622E-2</v>
      </c>
      <c r="D110" s="27">
        <f>SQRT((C72-$C$106)^2+(D72-$D$106)^2+(E72-$E$106)^2+(F72-$F$106)^2)</f>
        <v>6.3194739962674426E-2</v>
      </c>
      <c r="E110" s="26">
        <f>C110+D110</f>
        <v>0.12167705065178105</v>
      </c>
      <c r="F110" s="26">
        <f>D110/E110</f>
        <v>0.51936449498210624</v>
      </c>
      <c r="G110" s="1">
        <f>RANK(F110,$F$110:F139,0)</f>
        <v>8</v>
      </c>
    </row>
    <row r="111" spans="1:21" x14ac:dyDescent="0.3">
      <c r="A111" s="21" t="s">
        <v>10</v>
      </c>
      <c r="B111" s="21" t="s">
        <v>11</v>
      </c>
      <c r="C111" s="27">
        <f t="shared" ref="C111:C139" si="5">SQRT((C73-$C$105)^2+(D73-$D$105)^2+(E73-$E$105)^2+(F73-$F$105)^2)</f>
        <v>7.0904051578255786E-2</v>
      </c>
      <c r="D111" s="27">
        <f t="shared" ref="D111:D139" si="6">SQRT((C73-$C$106)^2+(D73-$D$106)^2+(E73-$E$106)^2+(F73-$F$106)^2)</f>
        <v>7.6749159294544553E-2</v>
      </c>
      <c r="E111" s="26">
        <f t="shared" ref="E111:E139" si="7">C111+D111</f>
        <v>0.14765321087280034</v>
      </c>
      <c r="F111" s="26">
        <f t="shared" ref="F111:F139" si="8">D111/E111</f>
        <v>0.5197933647420786</v>
      </c>
      <c r="G111" s="1">
        <f>RANK(F111,$F$110:F140,0)</f>
        <v>7</v>
      </c>
    </row>
    <row r="112" spans="1:21" x14ac:dyDescent="0.3">
      <c r="A112" s="19" t="s">
        <v>12</v>
      </c>
      <c r="B112" s="19" t="s">
        <v>13</v>
      </c>
      <c r="C112" s="27">
        <f t="shared" si="5"/>
        <v>0.10331417498460445</v>
      </c>
      <c r="D112" s="27">
        <f t="shared" si="6"/>
        <v>3.319171100849324E-2</v>
      </c>
      <c r="E112" s="26">
        <f t="shared" si="7"/>
        <v>0.13650588599309768</v>
      </c>
      <c r="F112" s="26">
        <f t="shared" si="8"/>
        <v>0.24315223308518399</v>
      </c>
      <c r="G112" s="1">
        <f>RANK(F112,$F$110:F141,0)</f>
        <v>30</v>
      </c>
    </row>
    <row r="113" spans="1:7" x14ac:dyDescent="0.3">
      <c r="A113" s="21" t="s">
        <v>14</v>
      </c>
      <c r="B113" s="21" t="s">
        <v>15</v>
      </c>
      <c r="C113" s="27">
        <f t="shared" si="5"/>
        <v>3.3180075816559858E-2</v>
      </c>
      <c r="D113" s="27">
        <f t="shared" si="6"/>
        <v>0.1163420075265631</v>
      </c>
      <c r="E113" s="26">
        <f t="shared" si="7"/>
        <v>0.14952208334312295</v>
      </c>
      <c r="F113" s="26">
        <f t="shared" si="8"/>
        <v>0.77809247253184477</v>
      </c>
      <c r="G113" s="1">
        <f>RANK(F113,$F$110:F142,0)</f>
        <v>1</v>
      </c>
    </row>
    <row r="114" spans="1:7" x14ac:dyDescent="0.3">
      <c r="A114" s="19" t="s">
        <v>16</v>
      </c>
      <c r="B114" s="19" t="s">
        <v>17</v>
      </c>
      <c r="C114" s="27">
        <f t="shared" si="5"/>
        <v>5.6878919717296E-2</v>
      </c>
      <c r="D114" s="27">
        <f t="shared" si="6"/>
        <v>7.6059434080432003E-2</v>
      </c>
      <c r="E114" s="26">
        <f t="shared" si="7"/>
        <v>0.132938353797728</v>
      </c>
      <c r="F114" s="26">
        <f t="shared" si="8"/>
        <v>0.57214063441886776</v>
      </c>
      <c r="G114" s="1">
        <f>RANK(F114,$F$110:F143,0)</f>
        <v>5</v>
      </c>
    </row>
    <row r="115" spans="1:7" x14ac:dyDescent="0.3">
      <c r="A115" s="21" t="s">
        <v>18</v>
      </c>
      <c r="B115" s="21" t="s">
        <v>19</v>
      </c>
      <c r="C115" s="27">
        <f t="shared" si="5"/>
        <v>5.9662013620462168E-2</v>
      </c>
      <c r="D115" s="27">
        <f t="shared" si="6"/>
        <v>8.1523582884667087E-2</v>
      </c>
      <c r="E115" s="26">
        <f t="shared" si="7"/>
        <v>0.14118559650512924</v>
      </c>
      <c r="F115" s="26">
        <f t="shared" si="8"/>
        <v>0.57742138647765928</v>
      </c>
      <c r="G115" s="1">
        <f>RANK(F115,$F$110:F144,0)</f>
        <v>4</v>
      </c>
    </row>
    <row r="116" spans="1:7" x14ac:dyDescent="0.3">
      <c r="A116" s="19" t="s">
        <v>20</v>
      </c>
      <c r="B116" s="19" t="s">
        <v>21</v>
      </c>
      <c r="C116" s="27">
        <f t="shared" si="5"/>
        <v>5.8482310689106622E-2</v>
      </c>
      <c r="D116" s="27">
        <f t="shared" si="6"/>
        <v>6.3194739962674426E-2</v>
      </c>
      <c r="E116" s="26">
        <f t="shared" si="7"/>
        <v>0.12167705065178105</v>
      </c>
      <c r="F116" s="26">
        <f t="shared" si="8"/>
        <v>0.51936449498210624</v>
      </c>
      <c r="G116" s="1">
        <f>RANK(F116,$F$110:F145,0)</f>
        <v>8</v>
      </c>
    </row>
    <row r="117" spans="1:7" x14ac:dyDescent="0.3">
      <c r="A117" s="21" t="s">
        <v>22</v>
      </c>
      <c r="B117" s="21" t="s">
        <v>23</v>
      </c>
      <c r="C117" s="27">
        <f t="shared" si="5"/>
        <v>8.6350982159266759E-2</v>
      </c>
      <c r="D117" s="27">
        <f t="shared" si="6"/>
        <v>3.9645785212937247E-2</v>
      </c>
      <c r="E117" s="26">
        <f t="shared" si="7"/>
        <v>0.125996767372204</v>
      </c>
      <c r="F117" s="26">
        <f t="shared" si="8"/>
        <v>0.31465716176527442</v>
      </c>
      <c r="G117" s="1">
        <f>RANK(F117,$F$110:F146,0)</f>
        <v>26</v>
      </c>
    </row>
    <row r="118" spans="1:7" x14ac:dyDescent="0.3">
      <c r="A118" s="19" t="s">
        <v>24</v>
      </c>
      <c r="B118" s="19" t="s">
        <v>25</v>
      </c>
      <c r="C118" s="27">
        <f t="shared" si="5"/>
        <v>7.3289980402914998E-2</v>
      </c>
      <c r="D118" s="27">
        <f t="shared" si="6"/>
        <v>7.5392383130331878E-2</v>
      </c>
      <c r="E118" s="26">
        <f t="shared" si="7"/>
        <v>0.14868236353324688</v>
      </c>
      <c r="F118" s="26">
        <f t="shared" si="8"/>
        <v>0.5070701146977219</v>
      </c>
      <c r="G118" s="1">
        <f>RANK(F118,$F$110:F147,0)</f>
        <v>14</v>
      </c>
    </row>
    <row r="119" spans="1:7" x14ac:dyDescent="0.3">
      <c r="A119" s="21" t="s">
        <v>26</v>
      </c>
      <c r="B119" s="21" t="s">
        <v>27</v>
      </c>
      <c r="C119" s="27">
        <f t="shared" si="5"/>
        <v>0.10538852522875604</v>
      </c>
      <c r="D119" s="27">
        <f t="shared" si="6"/>
        <v>3.8761922554245404E-2</v>
      </c>
      <c r="E119" s="26">
        <f t="shared" si="7"/>
        <v>0.14415044778300146</v>
      </c>
      <c r="F119" s="26">
        <f t="shared" si="8"/>
        <v>0.26889907836149157</v>
      </c>
      <c r="G119" s="1">
        <f>RANK(F119,$F$110:F148,0)</f>
        <v>29</v>
      </c>
    </row>
    <row r="120" spans="1:7" x14ac:dyDescent="0.3">
      <c r="A120" s="19" t="s">
        <v>28</v>
      </c>
      <c r="B120" s="19" t="s">
        <v>29</v>
      </c>
      <c r="C120" s="27">
        <f t="shared" si="5"/>
        <v>8.0026892777874697E-2</v>
      </c>
      <c r="D120" s="27">
        <f t="shared" si="6"/>
        <v>4.6937207165142297E-2</v>
      </c>
      <c r="E120" s="26">
        <f t="shared" si="7"/>
        <v>0.12696409994301699</v>
      </c>
      <c r="F120" s="26">
        <f t="shared" si="8"/>
        <v>0.36968881113801677</v>
      </c>
      <c r="G120" s="1">
        <f>RANK(F120,$F$110:F149,0)</f>
        <v>22</v>
      </c>
    </row>
    <row r="121" spans="1:7" x14ac:dyDescent="0.3">
      <c r="A121" s="21" t="s">
        <v>30</v>
      </c>
      <c r="B121" s="21" t="s">
        <v>31</v>
      </c>
      <c r="C121" s="27">
        <f t="shared" si="5"/>
        <v>6.0903346578119633E-2</v>
      </c>
      <c r="D121" s="27">
        <f t="shared" si="6"/>
        <v>7.5251002342920162E-2</v>
      </c>
      <c r="E121" s="26">
        <f t="shared" si="7"/>
        <v>0.13615434892103978</v>
      </c>
      <c r="F121" s="26">
        <f t="shared" si="8"/>
        <v>0.55268893677836617</v>
      </c>
      <c r="G121" s="1">
        <f>RANK(F121,$F$110:F150,0)</f>
        <v>6</v>
      </c>
    </row>
    <row r="122" spans="1:7" x14ac:dyDescent="0.3">
      <c r="A122" s="19" t="s">
        <v>32</v>
      </c>
      <c r="B122" s="19" t="s">
        <v>33</v>
      </c>
      <c r="C122" s="27">
        <f t="shared" si="5"/>
        <v>5.8482310689106622E-2</v>
      </c>
      <c r="D122" s="27">
        <f t="shared" si="6"/>
        <v>6.3194739962674426E-2</v>
      </c>
      <c r="E122" s="26">
        <f t="shared" si="7"/>
        <v>0.12167705065178105</v>
      </c>
      <c r="F122" s="26">
        <f t="shared" si="8"/>
        <v>0.51936449498210624</v>
      </c>
      <c r="G122" s="1">
        <f>RANK(F122,$F$110:F151,0)</f>
        <v>8</v>
      </c>
    </row>
    <row r="123" spans="1:7" x14ac:dyDescent="0.3">
      <c r="A123" s="21" t="s">
        <v>34</v>
      </c>
      <c r="B123" s="21" t="s">
        <v>35</v>
      </c>
      <c r="C123" s="27">
        <f t="shared" si="5"/>
        <v>5.8482310689106622E-2</v>
      </c>
      <c r="D123" s="27">
        <f t="shared" si="6"/>
        <v>6.3194739962674426E-2</v>
      </c>
      <c r="E123" s="26">
        <f t="shared" si="7"/>
        <v>0.12167705065178105</v>
      </c>
      <c r="F123" s="26">
        <f t="shared" si="8"/>
        <v>0.51936449498210624</v>
      </c>
      <c r="G123" s="1">
        <f>RANK(F123,$F$110:F152,0)</f>
        <v>8</v>
      </c>
    </row>
    <row r="124" spans="1:7" x14ac:dyDescent="0.3">
      <c r="A124" s="19" t="s">
        <v>36</v>
      </c>
      <c r="B124" s="19" t="s">
        <v>37</v>
      </c>
      <c r="C124" s="27">
        <f t="shared" si="5"/>
        <v>6.3194739962674412E-2</v>
      </c>
      <c r="D124" s="27">
        <f t="shared" si="6"/>
        <v>5.8482310689106629E-2</v>
      </c>
      <c r="E124" s="26">
        <f t="shared" si="7"/>
        <v>0.12167705065178104</v>
      </c>
      <c r="F124" s="26">
        <f t="shared" si="8"/>
        <v>0.48063550501789382</v>
      </c>
      <c r="G124" s="1">
        <f>RANK(F124,$F$110:F153,0)</f>
        <v>16</v>
      </c>
    </row>
    <row r="125" spans="1:7" x14ac:dyDescent="0.3">
      <c r="A125" s="21" t="s">
        <v>38</v>
      </c>
      <c r="B125" s="21" t="s">
        <v>39</v>
      </c>
      <c r="C125" s="27">
        <f t="shared" si="5"/>
        <v>7.2655437905998072E-2</v>
      </c>
      <c r="D125" s="27">
        <f t="shared" si="6"/>
        <v>7.0796144035775568E-2</v>
      </c>
      <c r="E125" s="26">
        <f t="shared" si="7"/>
        <v>0.14345158194177365</v>
      </c>
      <c r="F125" s="26">
        <f t="shared" si="8"/>
        <v>0.49351943755148969</v>
      </c>
      <c r="G125" s="1">
        <f>RANK(F125,$F$110:F154,0)</f>
        <v>15</v>
      </c>
    </row>
    <row r="126" spans="1:7" x14ac:dyDescent="0.3">
      <c r="A126" s="19" t="s">
        <v>40</v>
      </c>
      <c r="B126" s="19" t="s">
        <v>41</v>
      </c>
      <c r="C126" s="27">
        <f t="shared" si="5"/>
        <v>7.8823677085064395E-2</v>
      </c>
      <c r="D126" s="27">
        <f t="shared" si="6"/>
        <v>5.6202837195449711E-2</v>
      </c>
      <c r="E126" s="26">
        <f t="shared" si="7"/>
        <v>0.1350265142805141</v>
      </c>
      <c r="F126" s="26">
        <f t="shared" si="8"/>
        <v>0.41623556302941928</v>
      </c>
      <c r="G126" s="1">
        <f>RANK(F126,$F$110:F155,0)</f>
        <v>18</v>
      </c>
    </row>
    <row r="127" spans="1:7" x14ac:dyDescent="0.3">
      <c r="A127" s="21" t="s">
        <v>42</v>
      </c>
      <c r="B127" s="21" t="s">
        <v>43</v>
      </c>
      <c r="C127" s="27">
        <f t="shared" si="5"/>
        <v>6.5860548556763071E-2</v>
      </c>
      <c r="D127" s="27">
        <f t="shared" si="6"/>
        <v>5.6690022448298363E-2</v>
      </c>
      <c r="E127" s="26">
        <f t="shared" si="7"/>
        <v>0.12255057100506143</v>
      </c>
      <c r="F127" s="26">
        <f t="shared" si="8"/>
        <v>0.46258472713241799</v>
      </c>
      <c r="G127" s="1">
        <f>RANK(F127,$F$110:F156,0)</f>
        <v>17</v>
      </c>
    </row>
    <row r="128" spans="1:7" x14ac:dyDescent="0.3">
      <c r="A128" s="19" t="s">
        <v>44</v>
      </c>
      <c r="B128" s="19" t="s">
        <v>45</v>
      </c>
      <c r="C128" s="27">
        <f t="shared" si="5"/>
        <v>4.2850075138782022E-2</v>
      </c>
      <c r="D128" s="27">
        <f t="shared" si="6"/>
        <v>8.1447291949128614E-2</v>
      </c>
      <c r="E128" s="26">
        <f t="shared" si="7"/>
        <v>0.12429736708791064</v>
      </c>
      <c r="F128" s="26">
        <f t="shared" si="8"/>
        <v>0.655261602536795</v>
      </c>
      <c r="G128" s="1">
        <f>RANK(F128,$F$110:F157,0)</f>
        <v>2</v>
      </c>
    </row>
    <row r="129" spans="1:21" x14ac:dyDescent="0.3">
      <c r="A129" s="21" t="s">
        <v>46</v>
      </c>
      <c r="B129" s="21" t="s">
        <v>47</v>
      </c>
      <c r="C129" s="27">
        <f t="shared" si="5"/>
        <v>5.8482310689106622E-2</v>
      </c>
      <c r="D129" s="27">
        <f t="shared" si="6"/>
        <v>6.3194739962674426E-2</v>
      </c>
      <c r="E129" s="26">
        <f t="shared" si="7"/>
        <v>0.12167705065178105</v>
      </c>
      <c r="F129" s="26">
        <f t="shared" si="8"/>
        <v>0.51936449498210624</v>
      </c>
      <c r="G129" s="1">
        <f>RANK(F129,$F$110:F158,0)</f>
        <v>8</v>
      </c>
    </row>
    <row r="130" spans="1:21" x14ac:dyDescent="0.3">
      <c r="A130" s="19" t="s">
        <v>48</v>
      </c>
      <c r="B130" s="19" t="s">
        <v>49</v>
      </c>
      <c r="C130" s="27">
        <f t="shared" si="5"/>
        <v>5.8482310689106622E-2</v>
      </c>
      <c r="D130" s="27">
        <f t="shared" si="6"/>
        <v>6.3194739962674426E-2</v>
      </c>
      <c r="E130" s="26">
        <f t="shared" si="7"/>
        <v>0.12167705065178105</v>
      </c>
      <c r="F130" s="26">
        <f t="shared" si="8"/>
        <v>0.51936449498210624</v>
      </c>
      <c r="G130" s="1">
        <f>RANK(F130,$F$110:F159,0)</f>
        <v>8</v>
      </c>
    </row>
    <row r="131" spans="1:21" x14ac:dyDescent="0.3">
      <c r="A131" s="21" t="s">
        <v>50</v>
      </c>
      <c r="B131" s="21" t="s">
        <v>51</v>
      </c>
      <c r="C131" s="27">
        <f t="shared" si="5"/>
        <v>4.9907554285581308E-2</v>
      </c>
      <c r="D131" s="27">
        <f t="shared" si="6"/>
        <v>8.5451989000466841E-2</v>
      </c>
      <c r="E131" s="26">
        <f t="shared" si="7"/>
        <v>0.13535954328604816</v>
      </c>
      <c r="F131" s="26">
        <f t="shared" si="8"/>
        <v>0.63129637501720637</v>
      </c>
      <c r="G131" s="1">
        <f>RANK(F131,$F$110:F160,0)</f>
        <v>3</v>
      </c>
    </row>
    <row r="132" spans="1:21" x14ac:dyDescent="0.3">
      <c r="A132" s="19" t="s">
        <v>52</v>
      </c>
      <c r="B132" s="19" t="s">
        <v>53</v>
      </c>
      <c r="C132" s="27">
        <f t="shared" si="5"/>
        <v>9.4253299853644126E-2</v>
      </c>
      <c r="D132" s="27">
        <f t="shared" si="6"/>
        <v>4.2662233544938997E-2</v>
      </c>
      <c r="E132" s="26">
        <f t="shared" si="7"/>
        <v>0.13691553339858312</v>
      </c>
      <c r="F132" s="26">
        <f t="shared" si="8"/>
        <v>0.3115952769269969</v>
      </c>
      <c r="G132" s="1">
        <f>RANK(F132,$F$110:F161,0)</f>
        <v>28</v>
      </c>
    </row>
    <row r="133" spans="1:21" x14ac:dyDescent="0.3">
      <c r="A133" s="21" t="s">
        <v>54</v>
      </c>
      <c r="B133" s="21" t="s">
        <v>55</v>
      </c>
      <c r="C133" s="27">
        <f t="shared" si="5"/>
        <v>8.6483685742956853E-2</v>
      </c>
      <c r="D133" s="27">
        <f t="shared" si="6"/>
        <v>3.9355463475022626E-2</v>
      </c>
      <c r="E133" s="26">
        <f t="shared" si="7"/>
        <v>0.12583914921797948</v>
      </c>
      <c r="F133" s="26">
        <f t="shared" si="8"/>
        <v>0.31274419542403936</v>
      </c>
      <c r="G133" s="1">
        <f>RANK(F133,$F$110:F162,0)</f>
        <v>27</v>
      </c>
    </row>
    <row r="134" spans="1:21" x14ac:dyDescent="0.3">
      <c r="A134" s="19" t="s">
        <v>56</v>
      </c>
      <c r="B134" s="19" t="s">
        <v>57</v>
      </c>
      <c r="C134" s="27">
        <f t="shared" si="5"/>
        <v>0.10169668262046878</v>
      </c>
      <c r="D134" s="27">
        <f t="shared" si="6"/>
        <v>5.5059409984751041E-2</v>
      </c>
      <c r="E134" s="26">
        <f t="shared" si="7"/>
        <v>0.15675609260521983</v>
      </c>
      <c r="F134" s="26">
        <f t="shared" si="8"/>
        <v>0.35124255185037456</v>
      </c>
      <c r="G134" s="1">
        <f>RANK(F134,$F$110:F163,0)</f>
        <v>24</v>
      </c>
    </row>
    <row r="135" spans="1:21" x14ac:dyDescent="0.3">
      <c r="A135" s="21" t="s">
        <v>58</v>
      </c>
      <c r="B135" s="21" t="s">
        <v>59</v>
      </c>
      <c r="C135" s="27">
        <f t="shared" si="5"/>
        <v>0.10169668262046878</v>
      </c>
      <c r="D135" s="27">
        <f t="shared" si="6"/>
        <v>5.5059409984751041E-2</v>
      </c>
      <c r="E135" s="26">
        <f t="shared" si="7"/>
        <v>0.15675609260521983</v>
      </c>
      <c r="F135" s="26">
        <f t="shared" si="8"/>
        <v>0.35124255185037456</v>
      </c>
      <c r="G135" s="1">
        <f>RANK(F135,$F$110:F164,0)</f>
        <v>24</v>
      </c>
    </row>
    <row r="136" spans="1:21" x14ac:dyDescent="0.3">
      <c r="A136" s="19" t="s">
        <v>60</v>
      </c>
      <c r="B136" s="19" t="s">
        <v>61</v>
      </c>
      <c r="C136" s="27">
        <f t="shared" si="5"/>
        <v>9.7073372076952519E-2</v>
      </c>
      <c r="D136" s="27">
        <f t="shared" si="6"/>
        <v>5.6444559734335799E-2</v>
      </c>
      <c r="E136" s="26">
        <f t="shared" si="7"/>
        <v>0.15351793181128831</v>
      </c>
      <c r="F136" s="26">
        <f t="shared" si="8"/>
        <v>0.36767404998472875</v>
      </c>
      <c r="G136" s="1">
        <f>RANK(F136,$F$110:F165,0)</f>
        <v>23</v>
      </c>
    </row>
    <row r="137" spans="1:21" x14ac:dyDescent="0.3">
      <c r="A137" s="21" t="s">
        <v>62</v>
      </c>
      <c r="B137" s="21" t="s">
        <v>63</v>
      </c>
      <c r="C137" s="27">
        <f t="shared" si="5"/>
        <v>9.6384784607425486E-2</v>
      </c>
      <c r="D137" s="27">
        <f t="shared" si="6"/>
        <v>6.0521498322348516E-2</v>
      </c>
      <c r="E137" s="26">
        <f t="shared" si="7"/>
        <v>0.15690628292977399</v>
      </c>
      <c r="F137" s="26">
        <f t="shared" si="8"/>
        <v>0.38571749449597192</v>
      </c>
      <c r="G137" s="1">
        <f>RANK(F137,$F$110:F166,0)</f>
        <v>20</v>
      </c>
    </row>
    <row r="138" spans="1:21" x14ac:dyDescent="0.3">
      <c r="A138" s="19" t="s">
        <v>64</v>
      </c>
      <c r="B138" s="19" t="s">
        <v>65</v>
      </c>
      <c r="C138" s="27">
        <f t="shared" si="5"/>
        <v>8.1944505037267301E-2</v>
      </c>
      <c r="D138" s="27">
        <f t="shared" si="6"/>
        <v>5.54788652831096E-2</v>
      </c>
      <c r="E138" s="26">
        <f t="shared" si="7"/>
        <v>0.13742337032037691</v>
      </c>
      <c r="F138" s="26">
        <f t="shared" si="8"/>
        <v>0.40370764560475408</v>
      </c>
      <c r="G138" s="1">
        <f>RANK(F138,$F$110:F167,0)</f>
        <v>19</v>
      </c>
    </row>
    <row r="139" spans="1:21" x14ac:dyDescent="0.3">
      <c r="A139" s="21" t="s">
        <v>66</v>
      </c>
      <c r="B139" s="21" t="s">
        <v>67</v>
      </c>
      <c r="C139" s="27">
        <f t="shared" si="5"/>
        <v>0.10155648323541641</v>
      </c>
      <c r="D139" s="27">
        <f t="shared" si="6"/>
        <v>5.9650103650155675E-2</v>
      </c>
      <c r="E139" s="26">
        <f t="shared" si="7"/>
        <v>0.1612065868855721</v>
      </c>
      <c r="F139" s="26">
        <f t="shared" si="8"/>
        <v>0.37002274412333164</v>
      </c>
      <c r="G139" s="1">
        <f>RANK(F139,$F$110:F168,0)</f>
        <v>21</v>
      </c>
    </row>
    <row r="140" spans="1:21" x14ac:dyDescent="0.3">
      <c r="E140" s="26"/>
    </row>
    <row r="141" spans="1:21" ht="14.4" customHeight="1" x14ac:dyDescent="0.3">
      <c r="A141" s="34" t="s">
        <v>101</v>
      </c>
      <c r="B141" s="35"/>
      <c r="C141" s="35"/>
      <c r="D141" s="35"/>
      <c r="E141" s="35"/>
      <c r="F141" s="35"/>
      <c r="G141" s="35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</row>
  </sheetData>
  <mergeCells count="7">
    <mergeCell ref="A108:U108"/>
    <mergeCell ref="A141:G141"/>
    <mergeCell ref="A1:F1"/>
    <mergeCell ref="A34:F34"/>
    <mergeCell ref="A37:K37"/>
    <mergeCell ref="A70:P70"/>
    <mergeCell ref="A103:P1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Penjualan</vt:lpstr>
      <vt:lpstr>Matriks TOPSIS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Maulana</dc:creator>
  <cp:lastModifiedBy>Agung Maulana</cp:lastModifiedBy>
  <dcterms:created xsi:type="dcterms:W3CDTF">2026-05-11T13:33:23Z</dcterms:created>
  <dcterms:modified xsi:type="dcterms:W3CDTF">2026-05-14T13:36:42Z</dcterms:modified>
</cp:coreProperties>
</file>